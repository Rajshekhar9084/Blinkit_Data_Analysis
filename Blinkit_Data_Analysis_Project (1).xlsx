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DELL\Downloads\"/>
    </mc:Choice>
  </mc:AlternateContent>
  <bookViews>
    <workbookView xWindow="0" yWindow="0" windowWidth="20460" windowHeight="5970" tabRatio="682"/>
  </bookViews>
  <sheets>
    <sheet name="Quantity Analysis Dashboard" sheetId="5" r:id="rId1"/>
    <sheet name="Sales Data" sheetId="1" r:id="rId2"/>
    <sheet name="Executive Summary Dashboard" sheetId="4" r:id="rId3"/>
    <sheet name="Sales Analysis Dashboard" sheetId="3" r:id="rId4"/>
  </sheets>
  <definedNames>
    <definedName name="_xlnm._FilterDatabase" localSheetId="1" hidden="1">'Sales Data'!$D$4:$D$208</definedName>
    <definedName name="Slicer_City">#N/A</definedName>
    <definedName name="Slicer_City1">#N/A</definedName>
  </definedNames>
  <calcPr calcId="162913"/>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204" i="1" l="1"/>
  <c r="N204" i="1" s="1"/>
  <c r="J204" i="1"/>
  <c r="K204" i="1" s="1"/>
  <c r="N203" i="1"/>
  <c r="M203" i="1"/>
  <c r="K203" i="1"/>
  <c r="J203" i="1"/>
  <c r="M202" i="1"/>
  <c r="N202" i="1" s="1"/>
  <c r="O202" i="1" s="1"/>
  <c r="J202" i="1"/>
  <c r="K202" i="1" s="1"/>
  <c r="N201" i="1"/>
  <c r="O201" i="1" s="1"/>
  <c r="M201" i="1"/>
  <c r="K201" i="1"/>
  <c r="J201" i="1"/>
  <c r="M200" i="1"/>
  <c r="N200" i="1" s="1"/>
  <c r="O200" i="1" s="1"/>
  <c r="J200" i="1"/>
  <c r="K200" i="1" s="1"/>
  <c r="N199" i="1"/>
  <c r="M199" i="1"/>
  <c r="K199" i="1"/>
  <c r="J199" i="1"/>
  <c r="M198" i="1"/>
  <c r="N198" i="1" s="1"/>
  <c r="O198" i="1" s="1"/>
  <c r="J198" i="1"/>
  <c r="K198" i="1" s="1"/>
  <c r="N197" i="1"/>
  <c r="O197" i="1" s="1"/>
  <c r="M197" i="1"/>
  <c r="K197" i="1"/>
  <c r="J197" i="1"/>
  <c r="O196" i="1"/>
  <c r="M196" i="1"/>
  <c r="N196" i="1" s="1"/>
  <c r="J196" i="1"/>
  <c r="K196" i="1" s="1"/>
  <c r="N195" i="1"/>
  <c r="M195" i="1"/>
  <c r="K195" i="1"/>
  <c r="J195" i="1"/>
  <c r="M194" i="1"/>
  <c r="N194" i="1" s="1"/>
  <c r="J194" i="1"/>
  <c r="K194" i="1" s="1"/>
  <c r="N193" i="1"/>
  <c r="O193" i="1" s="1"/>
  <c r="M193" i="1"/>
  <c r="K193" i="1"/>
  <c r="J193" i="1"/>
  <c r="M192" i="1"/>
  <c r="N192" i="1" s="1"/>
  <c r="O192" i="1" s="1"/>
  <c r="J192" i="1"/>
  <c r="K192" i="1" s="1"/>
  <c r="N191" i="1"/>
  <c r="O191" i="1" s="1"/>
  <c r="M191" i="1"/>
  <c r="K191" i="1"/>
  <c r="J191" i="1"/>
  <c r="O190" i="1"/>
  <c r="M190" i="1"/>
  <c r="N190" i="1" s="1"/>
  <c r="J190" i="1"/>
  <c r="K190" i="1" s="1"/>
  <c r="N189" i="1"/>
  <c r="O189" i="1" s="1"/>
  <c r="M189" i="1"/>
  <c r="K189" i="1"/>
  <c r="J189" i="1"/>
  <c r="M188" i="1"/>
  <c r="N188" i="1" s="1"/>
  <c r="O188" i="1" s="1"/>
  <c r="J188" i="1"/>
  <c r="K188" i="1" s="1"/>
  <c r="N187" i="1"/>
  <c r="M187" i="1"/>
  <c r="K187" i="1"/>
  <c r="J187" i="1"/>
  <c r="M186" i="1"/>
  <c r="N186" i="1" s="1"/>
  <c r="J186" i="1"/>
  <c r="K186" i="1" s="1"/>
  <c r="N185" i="1"/>
  <c r="M185" i="1"/>
  <c r="K185" i="1"/>
  <c r="J185" i="1"/>
  <c r="M184" i="1"/>
  <c r="N184" i="1" s="1"/>
  <c r="O184" i="1" s="1"/>
  <c r="J184" i="1"/>
  <c r="K184" i="1" s="1"/>
  <c r="N183" i="1"/>
  <c r="O183" i="1" s="1"/>
  <c r="M183" i="1"/>
  <c r="K183" i="1"/>
  <c r="J183" i="1"/>
  <c r="O182" i="1"/>
  <c r="M182" i="1"/>
  <c r="N182" i="1" s="1"/>
  <c r="J182" i="1"/>
  <c r="K182" i="1" s="1"/>
  <c r="N181" i="1"/>
  <c r="O181" i="1" s="1"/>
  <c r="M181" i="1"/>
  <c r="K181" i="1"/>
  <c r="J181" i="1"/>
  <c r="M180" i="1"/>
  <c r="N180" i="1" s="1"/>
  <c r="O180" i="1" s="1"/>
  <c r="J180" i="1"/>
  <c r="K180" i="1" s="1"/>
  <c r="N179" i="1"/>
  <c r="M179" i="1"/>
  <c r="K179" i="1"/>
  <c r="J179" i="1"/>
  <c r="M178" i="1"/>
  <c r="N178" i="1" s="1"/>
  <c r="J178" i="1"/>
  <c r="K178" i="1" s="1"/>
  <c r="O178" i="1" s="1"/>
  <c r="N177" i="1"/>
  <c r="M177" i="1"/>
  <c r="K177" i="1"/>
  <c r="J177" i="1"/>
  <c r="M176" i="1"/>
  <c r="N176" i="1" s="1"/>
  <c r="O176" i="1" s="1"/>
  <c r="J176" i="1"/>
  <c r="K176" i="1" s="1"/>
  <c r="N175" i="1"/>
  <c r="O175" i="1" s="1"/>
  <c r="M175" i="1"/>
  <c r="K175" i="1"/>
  <c r="J175" i="1"/>
  <c r="O174" i="1"/>
  <c r="M174" i="1"/>
  <c r="N174" i="1" s="1"/>
  <c r="J174" i="1"/>
  <c r="K174" i="1" s="1"/>
  <c r="N173" i="1"/>
  <c r="O173" i="1" s="1"/>
  <c r="M173" i="1"/>
  <c r="K173" i="1"/>
  <c r="J173" i="1"/>
  <c r="M172" i="1"/>
  <c r="N172" i="1" s="1"/>
  <c r="O172" i="1" s="1"/>
  <c r="J172" i="1"/>
  <c r="K172" i="1" s="1"/>
  <c r="N171" i="1"/>
  <c r="M171" i="1"/>
  <c r="K171" i="1"/>
  <c r="J171" i="1"/>
  <c r="M170" i="1"/>
  <c r="N170" i="1" s="1"/>
  <c r="J170" i="1"/>
  <c r="K170" i="1" s="1"/>
  <c r="O170" i="1" s="1"/>
  <c r="N169" i="1"/>
  <c r="M169" i="1"/>
  <c r="K169" i="1"/>
  <c r="J169" i="1"/>
  <c r="M168" i="1"/>
  <c r="N168" i="1" s="1"/>
  <c r="O168" i="1" s="1"/>
  <c r="J168" i="1"/>
  <c r="K168" i="1" s="1"/>
  <c r="N167" i="1"/>
  <c r="O167" i="1" s="1"/>
  <c r="M167" i="1"/>
  <c r="K167" i="1"/>
  <c r="J167" i="1"/>
  <c r="O166" i="1"/>
  <c r="M166" i="1"/>
  <c r="N166" i="1" s="1"/>
  <c r="J166" i="1"/>
  <c r="K166" i="1" s="1"/>
  <c r="N165" i="1"/>
  <c r="O165" i="1" s="1"/>
  <c r="M165" i="1"/>
  <c r="K165" i="1"/>
  <c r="J165" i="1"/>
  <c r="M164" i="1"/>
  <c r="N164" i="1" s="1"/>
  <c r="O164" i="1" s="1"/>
  <c r="J164" i="1"/>
  <c r="K164" i="1" s="1"/>
  <c r="N163" i="1"/>
  <c r="M163" i="1"/>
  <c r="K163" i="1"/>
  <c r="J163" i="1"/>
  <c r="M162" i="1"/>
  <c r="N162" i="1" s="1"/>
  <c r="J162" i="1"/>
  <c r="K162" i="1" s="1"/>
  <c r="O162" i="1" s="1"/>
  <c r="N161" i="1"/>
  <c r="M161" i="1"/>
  <c r="K161" i="1"/>
  <c r="J161" i="1"/>
  <c r="M160" i="1"/>
  <c r="N160" i="1" s="1"/>
  <c r="O160" i="1" s="1"/>
  <c r="J160" i="1"/>
  <c r="K160" i="1" s="1"/>
  <c r="N159" i="1"/>
  <c r="O159" i="1" s="1"/>
  <c r="M159" i="1"/>
  <c r="K159" i="1"/>
  <c r="J159" i="1"/>
  <c r="O158" i="1"/>
  <c r="M158" i="1"/>
  <c r="N158" i="1" s="1"/>
  <c r="J158" i="1"/>
  <c r="K158" i="1" s="1"/>
  <c r="N157" i="1"/>
  <c r="O157" i="1" s="1"/>
  <c r="M157" i="1"/>
  <c r="K157" i="1"/>
  <c r="J157" i="1"/>
  <c r="M156" i="1"/>
  <c r="N156" i="1" s="1"/>
  <c r="O156" i="1" s="1"/>
  <c r="J156" i="1"/>
  <c r="K156" i="1" s="1"/>
  <c r="N155" i="1"/>
  <c r="M155" i="1"/>
  <c r="K155" i="1"/>
  <c r="J155" i="1"/>
  <c r="M154" i="1"/>
  <c r="N154" i="1" s="1"/>
  <c r="J154" i="1"/>
  <c r="K154" i="1" s="1"/>
  <c r="O154" i="1" s="1"/>
  <c r="N153" i="1"/>
  <c r="M153" i="1"/>
  <c r="K153" i="1"/>
  <c r="J153" i="1"/>
  <c r="M152" i="1"/>
  <c r="N152" i="1" s="1"/>
  <c r="O152" i="1" s="1"/>
  <c r="J152" i="1"/>
  <c r="K152" i="1" s="1"/>
  <c r="N151" i="1"/>
  <c r="O151" i="1" s="1"/>
  <c r="M151" i="1"/>
  <c r="K151" i="1"/>
  <c r="J151" i="1"/>
  <c r="O150" i="1"/>
  <c r="M150" i="1"/>
  <c r="N150" i="1" s="1"/>
  <c r="J150" i="1"/>
  <c r="K150" i="1" s="1"/>
  <c r="N149" i="1"/>
  <c r="M149" i="1"/>
  <c r="K149" i="1"/>
  <c r="J149" i="1"/>
  <c r="M148" i="1"/>
  <c r="N148" i="1" s="1"/>
  <c r="O148" i="1" s="1"/>
  <c r="J148" i="1"/>
  <c r="K148" i="1" s="1"/>
  <c r="N147" i="1"/>
  <c r="M147" i="1"/>
  <c r="K147" i="1"/>
  <c r="J147" i="1"/>
  <c r="M146" i="1"/>
  <c r="N146" i="1" s="1"/>
  <c r="J146" i="1"/>
  <c r="K146" i="1" s="1"/>
  <c r="O146" i="1" s="1"/>
  <c r="N145" i="1"/>
  <c r="M145" i="1"/>
  <c r="K145" i="1"/>
  <c r="J145" i="1"/>
  <c r="M144" i="1"/>
  <c r="N144" i="1" s="1"/>
  <c r="O144" i="1" s="1"/>
  <c r="J144" i="1"/>
  <c r="K144" i="1" s="1"/>
  <c r="N143" i="1"/>
  <c r="O143" i="1" s="1"/>
  <c r="M143" i="1"/>
  <c r="K143" i="1"/>
  <c r="J143" i="1"/>
  <c r="O142" i="1"/>
  <c r="M142" i="1"/>
  <c r="N142" i="1" s="1"/>
  <c r="J142" i="1"/>
  <c r="K142" i="1" s="1"/>
  <c r="N141" i="1"/>
  <c r="M141" i="1"/>
  <c r="K141" i="1"/>
  <c r="J141" i="1"/>
  <c r="M140" i="1"/>
  <c r="N140" i="1" s="1"/>
  <c r="O140" i="1" s="1"/>
  <c r="J140" i="1"/>
  <c r="K140" i="1" s="1"/>
  <c r="N139" i="1"/>
  <c r="M139" i="1"/>
  <c r="K139" i="1"/>
  <c r="J139" i="1"/>
  <c r="M138" i="1"/>
  <c r="N138" i="1" s="1"/>
  <c r="J138" i="1"/>
  <c r="K138" i="1" s="1"/>
  <c r="O138" i="1" s="1"/>
  <c r="N137" i="1"/>
  <c r="O137" i="1" s="1"/>
  <c r="M137" i="1"/>
  <c r="K137" i="1"/>
  <c r="J137" i="1"/>
  <c r="M136" i="1"/>
  <c r="N136" i="1" s="1"/>
  <c r="O136" i="1" s="1"/>
  <c r="J136" i="1"/>
  <c r="K136" i="1" s="1"/>
  <c r="N135" i="1"/>
  <c r="O135" i="1" s="1"/>
  <c r="M135" i="1"/>
  <c r="K135" i="1"/>
  <c r="J135" i="1"/>
  <c r="O134" i="1"/>
  <c r="M134" i="1"/>
  <c r="N134" i="1" s="1"/>
  <c r="J134" i="1"/>
  <c r="K134" i="1" s="1"/>
  <c r="N133" i="1"/>
  <c r="M133" i="1"/>
  <c r="K133" i="1"/>
  <c r="J133" i="1"/>
  <c r="M132" i="1"/>
  <c r="N132" i="1" s="1"/>
  <c r="O132" i="1" s="1"/>
  <c r="J132" i="1"/>
  <c r="K132" i="1" s="1"/>
  <c r="N131" i="1"/>
  <c r="M131" i="1"/>
  <c r="K131" i="1"/>
  <c r="J131" i="1"/>
  <c r="M130" i="1"/>
  <c r="N130" i="1" s="1"/>
  <c r="O130" i="1" s="1"/>
  <c r="J130" i="1"/>
  <c r="K130" i="1" s="1"/>
  <c r="N129" i="1"/>
  <c r="M129" i="1"/>
  <c r="J129" i="1"/>
  <c r="K129" i="1" s="1"/>
  <c r="O129" i="1" s="1"/>
  <c r="M128" i="1"/>
  <c r="N128" i="1" s="1"/>
  <c r="J128" i="1"/>
  <c r="K128" i="1" s="1"/>
  <c r="M127" i="1"/>
  <c r="N127" i="1" s="1"/>
  <c r="O127" i="1" s="1"/>
  <c r="K127" i="1"/>
  <c r="J127" i="1"/>
  <c r="N126" i="1"/>
  <c r="O126" i="1" s="1"/>
  <c r="M126" i="1"/>
  <c r="J126" i="1"/>
  <c r="K126" i="1" s="1"/>
  <c r="N125" i="1"/>
  <c r="O125" i="1" s="1"/>
  <c r="M125" i="1"/>
  <c r="K125" i="1"/>
  <c r="J125" i="1"/>
  <c r="O124" i="1"/>
  <c r="M124" i="1"/>
  <c r="N124" i="1" s="1"/>
  <c r="K124" i="1"/>
  <c r="J124" i="1"/>
  <c r="N123" i="1"/>
  <c r="O123" i="1" s="1"/>
  <c r="M123" i="1"/>
  <c r="K123" i="1"/>
  <c r="J123" i="1"/>
  <c r="M122" i="1"/>
  <c r="N122" i="1" s="1"/>
  <c r="O122" i="1" s="1"/>
  <c r="J122" i="1"/>
  <c r="K122" i="1" s="1"/>
  <c r="O121" i="1"/>
  <c r="N121" i="1"/>
  <c r="M121" i="1"/>
  <c r="J121" i="1"/>
  <c r="K121" i="1" s="1"/>
  <c r="M120" i="1"/>
  <c r="N120" i="1" s="1"/>
  <c r="O120" i="1" s="1"/>
  <c r="J120" i="1"/>
  <c r="K120" i="1" s="1"/>
  <c r="M119" i="1"/>
  <c r="N119" i="1" s="1"/>
  <c r="O119" i="1" s="1"/>
  <c r="K119" i="1"/>
  <c r="J119" i="1"/>
  <c r="N118" i="1"/>
  <c r="M118" i="1"/>
  <c r="J118" i="1"/>
  <c r="K118" i="1" s="1"/>
  <c r="N117" i="1"/>
  <c r="M117" i="1"/>
  <c r="K117" i="1"/>
  <c r="J117" i="1"/>
  <c r="M116" i="1"/>
  <c r="N116" i="1" s="1"/>
  <c r="K116" i="1"/>
  <c r="O116" i="1" s="1"/>
  <c r="J116" i="1"/>
  <c r="N115" i="1"/>
  <c r="M115" i="1"/>
  <c r="K115" i="1"/>
  <c r="J115" i="1"/>
  <c r="M114" i="1"/>
  <c r="N114" i="1" s="1"/>
  <c r="O114" i="1" s="1"/>
  <c r="J114" i="1"/>
  <c r="K114" i="1" s="1"/>
  <c r="N113" i="1"/>
  <c r="M113" i="1"/>
  <c r="J113" i="1"/>
  <c r="K113" i="1" s="1"/>
  <c r="O113" i="1" s="1"/>
  <c r="M112" i="1"/>
  <c r="N112" i="1" s="1"/>
  <c r="O112" i="1" s="1"/>
  <c r="J112" i="1"/>
  <c r="K112" i="1" s="1"/>
  <c r="M111" i="1"/>
  <c r="N111" i="1" s="1"/>
  <c r="O111" i="1" s="1"/>
  <c r="K111" i="1"/>
  <c r="J111" i="1"/>
  <c r="N110" i="1"/>
  <c r="O110" i="1" s="1"/>
  <c r="M110" i="1"/>
  <c r="J110" i="1"/>
  <c r="K110" i="1" s="1"/>
  <c r="N109" i="1"/>
  <c r="O109" i="1" s="1"/>
  <c r="M109" i="1"/>
  <c r="K109" i="1"/>
  <c r="J109" i="1"/>
  <c r="O108" i="1"/>
  <c r="M108" i="1"/>
  <c r="N108" i="1" s="1"/>
  <c r="K108" i="1"/>
  <c r="J108" i="1"/>
  <c r="N107" i="1"/>
  <c r="O107" i="1" s="1"/>
  <c r="M107" i="1"/>
  <c r="K107" i="1"/>
  <c r="J107" i="1"/>
  <c r="O106" i="1"/>
  <c r="M106" i="1"/>
  <c r="N106" i="1" s="1"/>
  <c r="J106" i="1"/>
  <c r="K106" i="1" s="1"/>
  <c r="N105" i="1"/>
  <c r="M105" i="1"/>
  <c r="J105" i="1"/>
  <c r="K105" i="1" s="1"/>
  <c r="O105" i="1" s="1"/>
  <c r="M104" i="1"/>
  <c r="N104" i="1" s="1"/>
  <c r="J104" i="1"/>
  <c r="K104" i="1" s="1"/>
  <c r="M103" i="1"/>
  <c r="N103" i="1" s="1"/>
  <c r="O103" i="1" s="1"/>
  <c r="K103" i="1"/>
  <c r="J103" i="1"/>
  <c r="N102" i="1"/>
  <c r="M102" i="1"/>
  <c r="J102" i="1"/>
  <c r="K102" i="1" s="1"/>
  <c r="N101" i="1"/>
  <c r="O101" i="1" s="1"/>
  <c r="M101" i="1"/>
  <c r="K101" i="1"/>
  <c r="J101" i="1"/>
  <c r="M100" i="1"/>
  <c r="N100" i="1" s="1"/>
  <c r="K100" i="1"/>
  <c r="O100" i="1" s="1"/>
  <c r="J100" i="1"/>
  <c r="N99" i="1"/>
  <c r="M99" i="1"/>
  <c r="K99" i="1"/>
  <c r="J99" i="1"/>
  <c r="M98" i="1"/>
  <c r="N98" i="1" s="1"/>
  <c r="O98" i="1" s="1"/>
  <c r="J98" i="1"/>
  <c r="K98" i="1" s="1"/>
  <c r="N97" i="1"/>
  <c r="M97" i="1"/>
  <c r="J97" i="1"/>
  <c r="K97" i="1" s="1"/>
  <c r="O97" i="1" s="1"/>
  <c r="M96" i="1"/>
  <c r="N96" i="1" s="1"/>
  <c r="J96" i="1"/>
  <c r="K96" i="1" s="1"/>
  <c r="M95" i="1"/>
  <c r="N95" i="1" s="1"/>
  <c r="O95" i="1" s="1"/>
  <c r="K95" i="1"/>
  <c r="J95" i="1"/>
  <c r="N94" i="1"/>
  <c r="O94" i="1" s="1"/>
  <c r="M94" i="1"/>
  <c r="J94" i="1"/>
  <c r="K94" i="1" s="1"/>
  <c r="N93" i="1"/>
  <c r="O93" i="1" s="1"/>
  <c r="M93" i="1"/>
  <c r="K93" i="1"/>
  <c r="J93" i="1"/>
  <c r="O92" i="1"/>
  <c r="M92" i="1"/>
  <c r="N92" i="1" s="1"/>
  <c r="K92" i="1"/>
  <c r="J92" i="1"/>
  <c r="M91" i="1"/>
  <c r="N91" i="1" s="1"/>
  <c r="O91" i="1" s="1"/>
  <c r="J91" i="1"/>
  <c r="K91" i="1" s="1"/>
  <c r="N90" i="1"/>
  <c r="O90" i="1" s="1"/>
  <c r="M90" i="1"/>
  <c r="K90" i="1"/>
  <c r="J90" i="1"/>
  <c r="M89" i="1"/>
  <c r="N89" i="1" s="1"/>
  <c r="O89" i="1" s="1"/>
  <c r="J89" i="1"/>
  <c r="K89" i="1" s="1"/>
  <c r="N88" i="1"/>
  <c r="O88" i="1" s="1"/>
  <c r="M88" i="1"/>
  <c r="K88" i="1"/>
  <c r="J88" i="1"/>
  <c r="M87" i="1"/>
  <c r="N87" i="1" s="1"/>
  <c r="J87" i="1"/>
  <c r="K87" i="1" s="1"/>
  <c r="O87" i="1" s="1"/>
  <c r="N86" i="1"/>
  <c r="O86" i="1" s="1"/>
  <c r="M86" i="1"/>
  <c r="K86" i="1"/>
  <c r="J86" i="1"/>
  <c r="M85" i="1"/>
  <c r="N85" i="1" s="1"/>
  <c r="J85" i="1"/>
  <c r="K85" i="1" s="1"/>
  <c r="N84" i="1"/>
  <c r="O84" i="1" s="1"/>
  <c r="M84" i="1"/>
  <c r="K84" i="1"/>
  <c r="J84" i="1"/>
  <c r="M83" i="1"/>
  <c r="N83" i="1" s="1"/>
  <c r="O83" i="1" s="1"/>
  <c r="J83" i="1"/>
  <c r="K83" i="1" s="1"/>
  <c r="N82" i="1"/>
  <c r="M82" i="1"/>
  <c r="K82" i="1"/>
  <c r="J82" i="1"/>
  <c r="M81" i="1"/>
  <c r="N81" i="1" s="1"/>
  <c r="O81" i="1" s="1"/>
  <c r="J81" i="1"/>
  <c r="K81" i="1" s="1"/>
  <c r="N80" i="1"/>
  <c r="O80" i="1" s="1"/>
  <c r="M80" i="1"/>
  <c r="K80" i="1"/>
  <c r="J80" i="1"/>
  <c r="O79" i="1"/>
  <c r="M79" i="1"/>
  <c r="N79" i="1" s="1"/>
  <c r="J79" i="1"/>
  <c r="K79" i="1" s="1"/>
  <c r="N78" i="1"/>
  <c r="M78" i="1"/>
  <c r="K78" i="1"/>
  <c r="J78" i="1"/>
  <c r="M77" i="1"/>
  <c r="N77" i="1" s="1"/>
  <c r="J77" i="1"/>
  <c r="K77" i="1" s="1"/>
  <c r="N76" i="1"/>
  <c r="O76" i="1" s="1"/>
  <c r="M76" i="1"/>
  <c r="K76" i="1"/>
  <c r="J76" i="1"/>
  <c r="M75" i="1"/>
  <c r="N75" i="1" s="1"/>
  <c r="O75" i="1" s="1"/>
  <c r="J75" i="1"/>
  <c r="K75" i="1" s="1"/>
  <c r="N74" i="1"/>
  <c r="O74" i="1" s="1"/>
  <c r="M74" i="1"/>
  <c r="K74" i="1"/>
  <c r="J74" i="1"/>
  <c r="M73" i="1"/>
  <c r="N73" i="1" s="1"/>
  <c r="O73" i="1" s="1"/>
  <c r="J73" i="1"/>
  <c r="K73" i="1" s="1"/>
  <c r="N72" i="1"/>
  <c r="O72" i="1" s="1"/>
  <c r="M72" i="1"/>
  <c r="K72" i="1"/>
  <c r="J72" i="1"/>
  <c r="M71" i="1"/>
  <c r="N71" i="1" s="1"/>
  <c r="J71" i="1"/>
  <c r="K71" i="1" s="1"/>
  <c r="O71" i="1" s="1"/>
  <c r="N70" i="1"/>
  <c r="O70" i="1" s="1"/>
  <c r="M70" i="1"/>
  <c r="K70" i="1"/>
  <c r="J70" i="1"/>
  <c r="M69" i="1"/>
  <c r="N69" i="1" s="1"/>
  <c r="J69" i="1"/>
  <c r="K69" i="1" s="1"/>
  <c r="N68" i="1"/>
  <c r="O68" i="1" s="1"/>
  <c r="M68" i="1"/>
  <c r="K68" i="1"/>
  <c r="J68" i="1"/>
  <c r="M67" i="1"/>
  <c r="N67" i="1" s="1"/>
  <c r="O67" i="1" s="1"/>
  <c r="J67" i="1"/>
  <c r="K67" i="1" s="1"/>
  <c r="N66" i="1"/>
  <c r="M66" i="1"/>
  <c r="K66" i="1"/>
  <c r="J66" i="1"/>
  <c r="M65" i="1"/>
  <c r="N65" i="1" s="1"/>
  <c r="O65" i="1" s="1"/>
  <c r="J65" i="1"/>
  <c r="K65" i="1" s="1"/>
  <c r="N64" i="1"/>
  <c r="O64" i="1" s="1"/>
  <c r="M64" i="1"/>
  <c r="K64" i="1"/>
  <c r="J64" i="1"/>
  <c r="O63" i="1"/>
  <c r="M63" i="1"/>
  <c r="N63" i="1" s="1"/>
  <c r="J63" i="1"/>
  <c r="K63" i="1" s="1"/>
  <c r="N62" i="1"/>
  <c r="M62" i="1"/>
  <c r="K62" i="1"/>
  <c r="J62" i="1"/>
  <c r="M61" i="1"/>
  <c r="N61" i="1" s="1"/>
  <c r="J61" i="1"/>
  <c r="K61" i="1" s="1"/>
  <c r="N60" i="1"/>
  <c r="O60" i="1" s="1"/>
  <c r="M60" i="1"/>
  <c r="K60" i="1"/>
  <c r="J60" i="1"/>
  <c r="M59" i="1"/>
  <c r="N59" i="1" s="1"/>
  <c r="O59" i="1" s="1"/>
  <c r="J59" i="1"/>
  <c r="K59" i="1" s="1"/>
  <c r="N58" i="1"/>
  <c r="O58" i="1" s="1"/>
  <c r="M58" i="1"/>
  <c r="K58" i="1"/>
  <c r="J58" i="1"/>
  <c r="M57" i="1"/>
  <c r="N57" i="1" s="1"/>
  <c r="O57" i="1" s="1"/>
  <c r="J57" i="1"/>
  <c r="K57" i="1" s="1"/>
  <c r="N56" i="1"/>
  <c r="O56" i="1" s="1"/>
  <c r="M56" i="1"/>
  <c r="K56" i="1"/>
  <c r="J56" i="1"/>
  <c r="M55" i="1"/>
  <c r="N55" i="1" s="1"/>
  <c r="J55" i="1"/>
  <c r="K55" i="1" s="1"/>
  <c r="O55" i="1" s="1"/>
  <c r="N54" i="1"/>
  <c r="O54" i="1" s="1"/>
  <c r="M54" i="1"/>
  <c r="K54" i="1"/>
  <c r="J54" i="1"/>
  <c r="M53" i="1"/>
  <c r="N53" i="1" s="1"/>
  <c r="J53" i="1"/>
  <c r="K53" i="1" s="1"/>
  <c r="N52" i="1"/>
  <c r="O52" i="1" s="1"/>
  <c r="M52" i="1"/>
  <c r="K52" i="1"/>
  <c r="J52" i="1"/>
  <c r="M51" i="1"/>
  <c r="N51" i="1" s="1"/>
  <c r="O51" i="1" s="1"/>
  <c r="J51" i="1"/>
  <c r="K51" i="1" s="1"/>
  <c r="N50" i="1"/>
  <c r="M50" i="1"/>
  <c r="K50" i="1"/>
  <c r="J50" i="1"/>
  <c r="M49" i="1"/>
  <c r="N49" i="1" s="1"/>
  <c r="O49" i="1" s="1"/>
  <c r="J49" i="1"/>
  <c r="K49" i="1" s="1"/>
  <c r="N48" i="1"/>
  <c r="O48" i="1" s="1"/>
  <c r="M48" i="1"/>
  <c r="K48" i="1"/>
  <c r="J48" i="1"/>
  <c r="O47" i="1"/>
  <c r="M47" i="1"/>
  <c r="N47" i="1" s="1"/>
  <c r="J47" i="1"/>
  <c r="K47" i="1" s="1"/>
  <c r="N46" i="1"/>
  <c r="M46" i="1"/>
  <c r="K46" i="1"/>
  <c r="J46" i="1"/>
  <c r="M45" i="1"/>
  <c r="N45" i="1" s="1"/>
  <c r="J45" i="1"/>
  <c r="K45" i="1" s="1"/>
  <c r="N44" i="1"/>
  <c r="O44" i="1" s="1"/>
  <c r="M44" i="1"/>
  <c r="K44" i="1"/>
  <c r="J44" i="1"/>
  <c r="M43" i="1"/>
  <c r="N43" i="1" s="1"/>
  <c r="O43" i="1" s="1"/>
  <c r="J43" i="1"/>
  <c r="K43" i="1" s="1"/>
  <c r="N42" i="1"/>
  <c r="O42" i="1" s="1"/>
  <c r="M42" i="1"/>
  <c r="K42" i="1"/>
  <c r="J42" i="1"/>
  <c r="M41" i="1"/>
  <c r="N41" i="1" s="1"/>
  <c r="O41" i="1" s="1"/>
  <c r="J41" i="1"/>
  <c r="K41" i="1" s="1"/>
  <c r="N40" i="1"/>
  <c r="O40" i="1" s="1"/>
  <c r="M40" i="1"/>
  <c r="K40" i="1"/>
  <c r="J40" i="1"/>
  <c r="M39" i="1"/>
  <c r="N39" i="1" s="1"/>
  <c r="J39" i="1"/>
  <c r="K39" i="1" s="1"/>
  <c r="O39" i="1" s="1"/>
  <c r="N38" i="1"/>
  <c r="O38" i="1" s="1"/>
  <c r="M38" i="1"/>
  <c r="K38" i="1"/>
  <c r="J38" i="1"/>
  <c r="M37" i="1"/>
  <c r="N37" i="1" s="1"/>
  <c r="J37" i="1"/>
  <c r="K37" i="1" s="1"/>
  <c r="N36" i="1"/>
  <c r="O36" i="1" s="1"/>
  <c r="M36" i="1"/>
  <c r="K36" i="1"/>
  <c r="J36" i="1"/>
  <c r="M35" i="1"/>
  <c r="N35" i="1" s="1"/>
  <c r="O35" i="1" s="1"/>
  <c r="J35" i="1"/>
  <c r="K35" i="1" s="1"/>
  <c r="N34" i="1"/>
  <c r="M34" i="1"/>
  <c r="K34" i="1"/>
  <c r="J34" i="1"/>
  <c r="M33" i="1"/>
  <c r="N33" i="1" s="1"/>
  <c r="J33" i="1"/>
  <c r="K33" i="1" s="1"/>
  <c r="O33" i="1" s="1"/>
  <c r="N32" i="1"/>
  <c r="O32" i="1" s="1"/>
  <c r="M32" i="1"/>
  <c r="K32" i="1"/>
  <c r="J32" i="1"/>
  <c r="M31" i="1"/>
  <c r="N31" i="1" s="1"/>
  <c r="O31" i="1" s="1"/>
  <c r="J31" i="1"/>
  <c r="K31" i="1" s="1"/>
  <c r="N30" i="1"/>
  <c r="O30" i="1" s="1"/>
  <c r="M30" i="1"/>
  <c r="K30" i="1"/>
  <c r="J30" i="1"/>
  <c r="O29" i="1"/>
  <c r="M29" i="1"/>
  <c r="N29" i="1" s="1"/>
  <c r="J29" i="1"/>
  <c r="K29" i="1" s="1"/>
  <c r="N28" i="1"/>
  <c r="M28" i="1"/>
  <c r="K28" i="1"/>
  <c r="J28" i="1"/>
  <c r="M27" i="1"/>
  <c r="N27" i="1" s="1"/>
  <c r="O27" i="1" s="1"/>
  <c r="J27" i="1"/>
  <c r="K27" i="1" s="1"/>
  <c r="N26" i="1"/>
  <c r="M26" i="1"/>
  <c r="K26" i="1"/>
  <c r="J26" i="1"/>
  <c r="M25" i="1"/>
  <c r="N25" i="1" s="1"/>
  <c r="J25" i="1"/>
  <c r="K25" i="1" s="1"/>
  <c r="O25" i="1" s="1"/>
  <c r="N24" i="1"/>
  <c r="M24" i="1"/>
  <c r="J24" i="1"/>
  <c r="K24" i="1" s="1"/>
  <c r="N23" i="1"/>
  <c r="O23" i="1" s="1"/>
  <c r="M23" i="1"/>
  <c r="K23" i="1"/>
  <c r="J23" i="1"/>
  <c r="M22" i="1"/>
  <c r="N22" i="1" s="1"/>
  <c r="O22" i="1" s="1"/>
  <c r="J22" i="1"/>
  <c r="K22" i="1" s="1"/>
  <c r="N21" i="1"/>
  <c r="O21" i="1" s="1"/>
  <c r="M21" i="1"/>
  <c r="K21" i="1"/>
  <c r="J21" i="1"/>
  <c r="M20" i="1"/>
  <c r="N20" i="1" s="1"/>
  <c r="O20" i="1" s="1"/>
  <c r="J20" i="1"/>
  <c r="K20" i="1" s="1"/>
  <c r="N19" i="1"/>
  <c r="O19" i="1" s="1"/>
  <c r="M19" i="1"/>
  <c r="K19" i="1"/>
  <c r="J19" i="1"/>
  <c r="M18" i="1"/>
  <c r="N18" i="1" s="1"/>
  <c r="O18" i="1" s="1"/>
  <c r="J18" i="1"/>
  <c r="K18" i="1" s="1"/>
  <c r="N17" i="1"/>
  <c r="O17" i="1" s="1"/>
  <c r="M17" i="1"/>
  <c r="K17" i="1"/>
  <c r="J17" i="1"/>
  <c r="M16" i="1"/>
  <c r="N16" i="1" s="1"/>
  <c r="O16" i="1" s="1"/>
  <c r="J16" i="1"/>
  <c r="K16" i="1" s="1"/>
  <c r="N15" i="1"/>
  <c r="O15" i="1" s="1"/>
  <c r="M15" i="1"/>
  <c r="K15" i="1"/>
  <c r="J15" i="1"/>
  <c r="M14" i="1"/>
  <c r="N14" i="1" s="1"/>
  <c r="O14" i="1" s="1"/>
  <c r="J14" i="1"/>
  <c r="K14" i="1" s="1"/>
  <c r="N13" i="1"/>
  <c r="O13" i="1" s="1"/>
  <c r="M13" i="1"/>
  <c r="K13" i="1"/>
  <c r="J13" i="1"/>
  <c r="M12" i="1"/>
  <c r="N12" i="1" s="1"/>
  <c r="O12" i="1" s="1"/>
  <c r="J12" i="1"/>
  <c r="K12" i="1" s="1"/>
  <c r="N11" i="1"/>
  <c r="O11" i="1" s="1"/>
  <c r="M11" i="1"/>
  <c r="K11" i="1"/>
  <c r="J11" i="1"/>
  <c r="M10" i="1"/>
  <c r="N10" i="1" s="1"/>
  <c r="O10" i="1" s="1"/>
  <c r="J10" i="1"/>
  <c r="K10" i="1" s="1"/>
  <c r="N9" i="1"/>
  <c r="O9" i="1" s="1"/>
  <c r="M9" i="1"/>
  <c r="K9" i="1"/>
  <c r="J9" i="1"/>
  <c r="M8" i="1"/>
  <c r="N8" i="1" s="1"/>
  <c r="O8" i="1" s="1"/>
  <c r="J8" i="1"/>
  <c r="K8" i="1" s="1"/>
  <c r="N7" i="1"/>
  <c r="O7" i="1" s="1"/>
  <c r="M7" i="1"/>
  <c r="K7" i="1"/>
  <c r="J7" i="1"/>
  <c r="M6" i="1"/>
  <c r="N6" i="1" s="1"/>
  <c r="O6" i="1" s="1"/>
  <c r="J6" i="1"/>
  <c r="K6" i="1" s="1"/>
  <c r="M5" i="1"/>
  <c r="N5" i="1" s="1"/>
  <c r="J5" i="1"/>
  <c r="K5" i="1" s="1"/>
  <c r="O10" i="4"/>
  <c r="O28" i="1" l="1"/>
  <c r="O45" i="1"/>
  <c r="O46" i="1"/>
  <c r="O61" i="1"/>
  <c r="O62" i="1"/>
  <c r="O77" i="1"/>
  <c r="O78" i="1"/>
  <c r="O118" i="1"/>
  <c r="O128" i="1"/>
  <c r="O186" i="1"/>
  <c r="O26" i="1"/>
  <c r="O34" i="1"/>
  <c r="O50" i="1"/>
  <c r="O66" i="1"/>
  <c r="O82" i="1"/>
  <c r="O102" i="1"/>
  <c r="O117" i="1"/>
  <c r="O24" i="1"/>
  <c r="O37" i="1"/>
  <c r="O53" i="1"/>
  <c r="O69" i="1"/>
  <c r="O85" i="1"/>
  <c r="O96" i="1"/>
  <c r="O104" i="1"/>
  <c r="O133" i="1"/>
  <c r="O141" i="1"/>
  <c r="O149" i="1"/>
  <c r="O194" i="1"/>
  <c r="O195" i="1"/>
  <c r="O204" i="1"/>
  <c r="O99" i="1"/>
  <c r="O115" i="1"/>
  <c r="O131" i="1"/>
  <c r="O139" i="1"/>
  <c r="O147" i="1"/>
  <c r="O155" i="1"/>
  <c r="O163" i="1"/>
  <c r="O171" i="1"/>
  <c r="O179" i="1"/>
  <c r="O187" i="1"/>
  <c r="O199" i="1"/>
  <c r="O145" i="1"/>
  <c r="O153" i="1"/>
  <c r="O161" i="1"/>
  <c r="O169" i="1"/>
  <c r="O177" i="1"/>
  <c r="O185" i="1"/>
  <c r="O203" i="1"/>
  <c r="O5" i="1"/>
</calcChain>
</file>

<file path=xl/sharedStrings.xml><?xml version="1.0" encoding="utf-8"?>
<sst xmlns="http://schemas.openxmlformats.org/spreadsheetml/2006/main" count="1498" uniqueCount="322">
  <si>
    <t>Order_ID</t>
  </si>
  <si>
    <t>Order_Date</t>
  </si>
  <si>
    <t>Delivery_Date</t>
  </si>
  <si>
    <t>Customer_Name</t>
  </si>
  <si>
    <t>City</t>
  </si>
  <si>
    <t>Area</t>
  </si>
  <si>
    <t>Product_Category</t>
  </si>
  <si>
    <t>Product_Name</t>
  </si>
  <si>
    <t>Quantity</t>
  </si>
  <si>
    <t>Unit_Price</t>
  </si>
  <si>
    <t>Payment_Mode</t>
  </si>
  <si>
    <t>Profit</t>
  </si>
  <si>
    <t>B1001</t>
  </si>
  <si>
    <t>Rahul Sharma</t>
  </si>
  <si>
    <t>Pune</t>
  </si>
  <si>
    <t>Wakad</t>
  </si>
  <si>
    <t>Dairy</t>
  </si>
  <si>
    <t>Milk</t>
  </si>
  <si>
    <t>UPI</t>
  </si>
  <si>
    <t>B1002</t>
  </si>
  <si>
    <t>Priya Jain</t>
  </si>
  <si>
    <t>Mumbai</t>
  </si>
  <si>
    <t>Andheri</t>
  </si>
  <si>
    <t>Snacks</t>
  </si>
  <si>
    <t>Chips</t>
  </si>
  <si>
    <t>Card</t>
  </si>
  <si>
    <t>B1003</t>
  </si>
  <si>
    <t>Amit Verma</t>
  </si>
  <si>
    <t>Bangalore</t>
  </si>
  <si>
    <t>Whitefield</t>
  </si>
  <si>
    <t>Beverages</t>
  </si>
  <si>
    <t>Juice</t>
  </si>
  <si>
    <t>COD</t>
  </si>
  <si>
    <t>B1004</t>
  </si>
  <si>
    <t>Sneha Patil</t>
  </si>
  <si>
    <t>Baner</t>
  </si>
  <si>
    <t>Personal Care</t>
  </si>
  <si>
    <t>Shampoo</t>
  </si>
  <si>
    <t>B1005</t>
  </si>
  <si>
    <t>Karan Mehta</t>
  </si>
  <si>
    <t>Delhi</t>
  </si>
  <si>
    <t>Rohini</t>
  </si>
  <si>
    <t>Grocery</t>
  </si>
  <si>
    <t>Rice</t>
  </si>
  <si>
    <t>Wallet</t>
  </si>
  <si>
    <t>B1006</t>
  </si>
  <si>
    <t>Pooja Shah</t>
  </si>
  <si>
    <t>Hyderabad</t>
  </si>
  <si>
    <t>Gachibowli</t>
  </si>
  <si>
    <t>B1007</t>
  </si>
  <si>
    <t>Rohan Gupta</t>
  </si>
  <si>
    <t>Chennai</t>
  </si>
  <si>
    <t>Velachery</t>
  </si>
  <si>
    <t>Cookies</t>
  </si>
  <si>
    <t>B1008</t>
  </si>
  <si>
    <t>Kothrud</t>
  </si>
  <si>
    <t>Fruits</t>
  </si>
  <si>
    <t>Apple</t>
  </si>
  <si>
    <t>B1009</t>
  </si>
  <si>
    <t>Arjun Singh</t>
  </si>
  <si>
    <t>Powai</t>
  </si>
  <si>
    <t>Vegetables</t>
  </si>
  <si>
    <t>B1010</t>
  </si>
  <si>
    <t>Simran Kaur</t>
  </si>
  <si>
    <t>Dwarka</t>
  </si>
  <si>
    <t>Frozen Food</t>
  </si>
  <si>
    <t>Nuggets</t>
  </si>
  <si>
    <t>B1011</t>
  </si>
  <si>
    <t>rahul sharma</t>
  </si>
  <si>
    <t>B1012</t>
  </si>
  <si>
    <t>B1013</t>
  </si>
  <si>
    <t>B1014</t>
  </si>
  <si>
    <t>B1015</t>
  </si>
  <si>
    <t>B1016</t>
  </si>
  <si>
    <t>B1017</t>
  </si>
  <si>
    <t>B1018</t>
  </si>
  <si>
    <t>Neha Joshi</t>
  </si>
  <si>
    <t>B1019</t>
  </si>
  <si>
    <t>B1020</t>
  </si>
  <si>
    <t>B1021</t>
  </si>
  <si>
    <t>Vikas Rao</t>
  </si>
  <si>
    <t>Indiranagar</t>
  </si>
  <si>
    <t>B1022</t>
  </si>
  <si>
    <t>Anjali Desai</t>
  </si>
  <si>
    <t>Bandra</t>
  </si>
  <si>
    <t>B1023</t>
  </si>
  <si>
    <t>Sachin Yadav</t>
  </si>
  <si>
    <t>Hinjewadi</t>
  </si>
  <si>
    <t>B1024</t>
  </si>
  <si>
    <t>Ritika Malhotra</t>
  </si>
  <si>
    <t>Saket</t>
  </si>
  <si>
    <t>B1025</t>
  </si>
  <si>
    <t>Deepak Nair</t>
  </si>
  <si>
    <t>Anna Nagar</t>
  </si>
  <si>
    <t>B1026</t>
  </si>
  <si>
    <t>Megha Kapoor</t>
  </si>
  <si>
    <t>Madhapur</t>
  </si>
  <si>
    <t>B1027</t>
  </si>
  <si>
    <t>Harsh Agarwal</t>
  </si>
  <si>
    <t>Thane</t>
  </si>
  <si>
    <t>B1028</t>
  </si>
  <si>
    <t>Tanvi Kulkarni</t>
  </si>
  <si>
    <t>Aundh</t>
  </si>
  <si>
    <t>B1029</t>
  </si>
  <si>
    <t>Nikhil Bansal</t>
  </si>
  <si>
    <t>Karol Bagh</t>
  </si>
  <si>
    <t>B1030</t>
  </si>
  <si>
    <t>Kavya Iyer</t>
  </si>
  <si>
    <t>HSR Layout</t>
  </si>
  <si>
    <t>B1031</t>
  </si>
  <si>
    <t>Raj Patel</t>
  </si>
  <si>
    <t>Navi Mumbai</t>
  </si>
  <si>
    <t>B1032</t>
  </si>
  <si>
    <t>Pallavi Sharma</t>
  </si>
  <si>
    <t>Pimple Saudagar</t>
  </si>
  <si>
    <t>B1033</t>
  </si>
  <si>
    <t>Manish Tiwari</t>
  </si>
  <si>
    <t>Laxmi Nagar</t>
  </si>
  <si>
    <t>B1034</t>
  </si>
  <si>
    <t>Shreya Menon</t>
  </si>
  <si>
    <t>T Nagar</t>
  </si>
  <si>
    <t>B1035</t>
  </si>
  <si>
    <t>Abhishek Roy</t>
  </si>
  <si>
    <t>Kukatpally</t>
  </si>
  <si>
    <t>B1036</t>
  </si>
  <si>
    <t>B1037</t>
  </si>
  <si>
    <t>B1038</t>
  </si>
  <si>
    <t>B1039</t>
  </si>
  <si>
    <t>B1040</t>
  </si>
  <si>
    <t>B1041</t>
  </si>
  <si>
    <t>B1042</t>
  </si>
  <si>
    <t>B1043</t>
  </si>
  <si>
    <t>B1044</t>
  </si>
  <si>
    <t>B1045</t>
  </si>
  <si>
    <t>B1046</t>
  </si>
  <si>
    <t>B1047</t>
  </si>
  <si>
    <t>B1048</t>
  </si>
  <si>
    <t>B1049</t>
  </si>
  <si>
    <t>B1050</t>
  </si>
  <si>
    <t>Selling price</t>
  </si>
  <si>
    <t>Acutal_value</t>
  </si>
  <si>
    <t>B1181</t>
  </si>
  <si>
    <t>B1182</t>
  </si>
  <si>
    <t>B1183</t>
  </si>
  <si>
    <t>B1184</t>
  </si>
  <si>
    <t>B1185</t>
  </si>
  <si>
    <t>B1186</t>
  </si>
  <si>
    <t>B1187</t>
  </si>
  <si>
    <t>B1188</t>
  </si>
  <si>
    <t xml:space="preserve"> Neha Joshi </t>
  </si>
  <si>
    <t>B1189</t>
  </si>
  <si>
    <t>B1190</t>
  </si>
  <si>
    <t>B1191</t>
  </si>
  <si>
    <t>B1192</t>
  </si>
  <si>
    <t>B1193</t>
  </si>
  <si>
    <t>B1194</t>
  </si>
  <si>
    <t>B1195</t>
  </si>
  <si>
    <t>B1196</t>
  </si>
  <si>
    <t>B1197</t>
  </si>
  <si>
    <t>B1198</t>
  </si>
  <si>
    <t>B1199</t>
  </si>
  <si>
    <t>B1200</t>
  </si>
  <si>
    <t xml:space="preserve"> Neha Joshi</t>
  </si>
  <si>
    <t xml:space="preserve"> Rahul Sharma</t>
  </si>
  <si>
    <t xml:space="preserve"> Rahul Sharma </t>
  </si>
  <si>
    <t>B1051</t>
  </si>
  <si>
    <t>B1052</t>
  </si>
  <si>
    <t>B1053</t>
  </si>
  <si>
    <t>B1054</t>
  </si>
  <si>
    <t>B1055</t>
  </si>
  <si>
    <t>B1056</t>
  </si>
  <si>
    <t>B1057</t>
  </si>
  <si>
    <t>B1058</t>
  </si>
  <si>
    <t>B1059</t>
  </si>
  <si>
    <t>B1060</t>
  </si>
  <si>
    <t>B1061</t>
  </si>
  <si>
    <t>B1062</t>
  </si>
  <si>
    <t>B1063</t>
  </si>
  <si>
    <t>B1064</t>
  </si>
  <si>
    <t>B1065</t>
  </si>
  <si>
    <t>B1066</t>
  </si>
  <si>
    <t>B1067</t>
  </si>
  <si>
    <t>B1068</t>
  </si>
  <si>
    <t>B1069</t>
  </si>
  <si>
    <t>B1070</t>
  </si>
  <si>
    <t>B1071</t>
  </si>
  <si>
    <t>B1072</t>
  </si>
  <si>
    <t>B1073</t>
  </si>
  <si>
    <t>B1074</t>
  </si>
  <si>
    <t>B1075</t>
  </si>
  <si>
    <t>B1076</t>
  </si>
  <si>
    <t>B1077</t>
  </si>
  <si>
    <t>B1078</t>
  </si>
  <si>
    <t>B1079</t>
  </si>
  <si>
    <t>B1080</t>
  </si>
  <si>
    <t>B1081</t>
  </si>
  <si>
    <t>B1082</t>
  </si>
  <si>
    <t>B1083</t>
  </si>
  <si>
    <t>B1084</t>
  </si>
  <si>
    <t>B1085</t>
  </si>
  <si>
    <t>B1086</t>
  </si>
  <si>
    <t>B1087</t>
  </si>
  <si>
    <t>B1088</t>
  </si>
  <si>
    <t>B1089</t>
  </si>
  <si>
    <t>B1090</t>
  </si>
  <si>
    <t>B1091</t>
  </si>
  <si>
    <t>B1092</t>
  </si>
  <si>
    <t>B1093</t>
  </si>
  <si>
    <t>B1094</t>
  </si>
  <si>
    <t>B1095</t>
  </si>
  <si>
    <t>B1096</t>
  </si>
  <si>
    <t>B1097</t>
  </si>
  <si>
    <t>B1098</t>
  </si>
  <si>
    <t>B1099</t>
  </si>
  <si>
    <t>B1100</t>
  </si>
  <si>
    <t>B1101</t>
  </si>
  <si>
    <t>B1102</t>
  </si>
  <si>
    <t>B1103</t>
  </si>
  <si>
    <t>B1104</t>
  </si>
  <si>
    <t>B1105</t>
  </si>
  <si>
    <t>B1106</t>
  </si>
  <si>
    <t>B1107</t>
  </si>
  <si>
    <t>B1108</t>
  </si>
  <si>
    <t>B1109</t>
  </si>
  <si>
    <t>B1110</t>
  </si>
  <si>
    <t>B1111</t>
  </si>
  <si>
    <t>B1112</t>
  </si>
  <si>
    <t>B1113</t>
  </si>
  <si>
    <t>B1114</t>
  </si>
  <si>
    <t>B1115</t>
  </si>
  <si>
    <t>B1116</t>
  </si>
  <si>
    <t>B1117</t>
  </si>
  <si>
    <t>B1118</t>
  </si>
  <si>
    <t>B1119</t>
  </si>
  <si>
    <t>B1120</t>
  </si>
  <si>
    <t>B1121</t>
  </si>
  <si>
    <t>B1122</t>
  </si>
  <si>
    <t>B1123</t>
  </si>
  <si>
    <t>B1124</t>
  </si>
  <si>
    <t>B1125</t>
  </si>
  <si>
    <t>B1126</t>
  </si>
  <si>
    <t>B1127</t>
  </si>
  <si>
    <t>B1128</t>
  </si>
  <si>
    <t>B1129</t>
  </si>
  <si>
    <t>B1130</t>
  </si>
  <si>
    <t>B1131</t>
  </si>
  <si>
    <t>B1132</t>
  </si>
  <si>
    <t>B1133</t>
  </si>
  <si>
    <t>B1134</t>
  </si>
  <si>
    <t>B1135</t>
  </si>
  <si>
    <t>B1136</t>
  </si>
  <si>
    <t>B1137</t>
  </si>
  <si>
    <t>B1138</t>
  </si>
  <si>
    <t>B1139</t>
  </si>
  <si>
    <t>B1140</t>
  </si>
  <si>
    <t>B1141</t>
  </si>
  <si>
    <t>B1142</t>
  </si>
  <si>
    <t>B1143</t>
  </si>
  <si>
    <t>B1144</t>
  </si>
  <si>
    <t>B1145</t>
  </si>
  <si>
    <t>B1146</t>
  </si>
  <si>
    <t>B1147</t>
  </si>
  <si>
    <t>B1148</t>
  </si>
  <si>
    <t>B1149</t>
  </si>
  <si>
    <t>B1150</t>
  </si>
  <si>
    <t>B1151</t>
  </si>
  <si>
    <t>B1152</t>
  </si>
  <si>
    <t>B1153</t>
  </si>
  <si>
    <t>B1154</t>
  </si>
  <si>
    <t>B1155</t>
  </si>
  <si>
    <t>B1156</t>
  </si>
  <si>
    <t>B1157</t>
  </si>
  <si>
    <t>B1158</t>
  </si>
  <si>
    <t>B1159</t>
  </si>
  <si>
    <t>B1160</t>
  </si>
  <si>
    <t>B1161</t>
  </si>
  <si>
    <t>B1162</t>
  </si>
  <si>
    <t>B1163</t>
  </si>
  <si>
    <t>B1164</t>
  </si>
  <si>
    <t>B1165</t>
  </si>
  <si>
    <t>B1166</t>
  </si>
  <si>
    <t>B1167</t>
  </si>
  <si>
    <t>B1168</t>
  </si>
  <si>
    <t>B1169</t>
  </si>
  <si>
    <t>B1170</t>
  </si>
  <si>
    <t>B1171</t>
  </si>
  <si>
    <t>B1172</t>
  </si>
  <si>
    <t>B1173</t>
  </si>
  <si>
    <t>B1174</t>
  </si>
  <si>
    <t>B1175</t>
  </si>
  <si>
    <t>B1176</t>
  </si>
  <si>
    <t>B1177</t>
  </si>
  <si>
    <t>B1178</t>
  </si>
  <si>
    <t>B1179</t>
  </si>
  <si>
    <t>B1180</t>
  </si>
  <si>
    <t>Grand Total</t>
  </si>
  <si>
    <t>Sum of Selling price</t>
  </si>
  <si>
    <t>Product_price</t>
  </si>
  <si>
    <t>Total Sales</t>
  </si>
  <si>
    <t>Total Sales Quantinty</t>
  </si>
  <si>
    <t>Total Profit</t>
  </si>
  <si>
    <t>Sum of Profit Amount</t>
  </si>
  <si>
    <t>(All)</t>
  </si>
  <si>
    <t>Product_Category_Name</t>
  </si>
  <si>
    <t xml:space="preserve"> Quantity by Customer</t>
  </si>
  <si>
    <t xml:space="preserve"> Quantity by Product</t>
  </si>
  <si>
    <t xml:space="preserve"> Profit by product</t>
  </si>
  <si>
    <t xml:space="preserve"> Quantity by Category</t>
  </si>
  <si>
    <t>BLINKIT SUMMERY DASHBOARD</t>
  </si>
  <si>
    <t>BLINKIT SALES DASHBOARD</t>
  </si>
  <si>
    <t>BLINKIT SALES DATA</t>
  </si>
  <si>
    <t>BLINKIT QUANTITY DASHBOARD</t>
  </si>
  <si>
    <r>
      <t xml:space="preserve">• Highest Selling Product: </t>
    </r>
    <r>
      <rPr>
        <b/>
        <sz val="12"/>
        <color theme="1"/>
        <rFont val="Calibri"/>
        <family val="2"/>
        <scheme val="minor"/>
      </rPr>
      <t>Milk</t>
    </r>
    <r>
      <rPr>
        <sz val="12"/>
        <color theme="1"/>
        <rFont val="Calibri"/>
        <family val="2"/>
        <scheme val="minor"/>
      </rPr>
      <t xml:space="preserve"> emerged as the best-selling product, contributing significantly to overall sales volume.</t>
    </r>
  </si>
  <si>
    <r>
      <t xml:space="preserve">• Most Profitable Product: </t>
    </r>
    <r>
      <rPr>
        <b/>
        <sz val="12"/>
        <color theme="1"/>
        <rFont val="Calibri"/>
        <family val="2"/>
        <scheme val="minor"/>
      </rPr>
      <t>Apple</t>
    </r>
    <r>
      <rPr>
        <sz val="12"/>
        <color theme="1"/>
        <rFont val="Calibri"/>
        <family val="2"/>
        <scheme val="minor"/>
      </rPr>
      <t xml:space="preserve"> generated the highest profit, making it the most valuable product in the portfolio.</t>
    </r>
  </si>
  <si>
    <r>
      <t xml:space="preserve">• Top Performing City: </t>
    </r>
    <r>
      <rPr>
        <b/>
        <sz val="12"/>
        <color theme="1"/>
        <rFont val="Calibri"/>
        <family val="2"/>
        <scheme val="minor"/>
      </rPr>
      <t>Hyderabad</t>
    </r>
    <r>
      <rPr>
        <sz val="12"/>
        <color theme="1"/>
        <rFont val="Calibri"/>
        <family val="2"/>
        <scheme val="minor"/>
      </rPr>
      <t xml:space="preserve"> recorded the strongest sales performance among all cities.</t>
    </r>
  </si>
  <si>
    <r>
      <t xml:space="preserve">• Customer Base: The business successfully served </t>
    </r>
    <r>
      <rPr>
        <b/>
        <sz val="12"/>
        <color theme="1"/>
        <rFont val="Calibri"/>
        <family val="2"/>
        <scheme val="minor"/>
      </rPr>
      <t>200</t>
    </r>
    <r>
      <rPr>
        <sz val="12"/>
        <color theme="1"/>
        <rFont val="Calibri"/>
        <family val="2"/>
        <scheme val="minor"/>
      </rPr>
      <t xml:space="preserve"> customers during the analysis period.</t>
    </r>
  </si>
  <si>
    <r>
      <t xml:space="preserve">• Revenue Generated: Total revenue reached </t>
    </r>
    <r>
      <rPr>
        <b/>
        <sz val="12"/>
        <color theme="1"/>
        <rFont val="Calibri"/>
        <family val="2"/>
        <scheme val="minor"/>
      </rPr>
      <t>₹295,185,</t>
    </r>
    <r>
      <rPr>
        <sz val="12"/>
        <color theme="1"/>
        <rFont val="Calibri"/>
        <family val="2"/>
        <scheme val="minor"/>
      </rPr>
      <t xml:space="preserve"> reflecting strong market demand and sales performance.</t>
    </r>
  </si>
  <si>
    <r>
      <rPr>
        <sz val="12"/>
        <color theme="1"/>
        <rFont val="Calibri"/>
        <family val="2"/>
        <scheme val="minor"/>
      </rPr>
      <t xml:space="preserve">• Profit Earned: The business achieved a total profit of </t>
    </r>
    <r>
      <rPr>
        <b/>
        <sz val="12"/>
        <color theme="1"/>
        <rFont val="Calibri"/>
        <family val="2"/>
        <scheme val="minor"/>
      </rPr>
      <t>₹20,785,</t>
    </r>
    <r>
      <rPr>
        <sz val="12"/>
        <color theme="1"/>
        <rFont val="Calibri"/>
        <family val="2"/>
        <scheme val="minor"/>
      </rPr>
      <t xml:space="preserve"> indicating positive financial performance.</t>
    </r>
  </si>
  <si>
    <r>
      <t xml:space="preserve">• Profit Margin: A profit margin of </t>
    </r>
    <r>
      <rPr>
        <b/>
        <sz val="11"/>
        <color theme="1"/>
        <rFont val="Calibri"/>
        <family val="2"/>
        <scheme val="minor"/>
      </rPr>
      <t>7.04%</t>
    </r>
    <r>
      <rPr>
        <sz val="11"/>
        <color theme="1"/>
        <rFont val="Calibri"/>
        <family val="2"/>
        <scheme val="minor"/>
      </rPr>
      <t xml:space="preserve"> demonstrates efficient cost management and sustainable profitability.</t>
    </r>
  </si>
  <si>
    <t xml:space="preserve"> BUSINESS INSIGHTS</t>
  </si>
  <si>
    <t>Developed By: Rajshekhar Hugar</t>
  </si>
  <si>
    <t>Tools Used: Microsoft Excel,Pivot Tables,Pivot Charts, Slicers, Dashboard Design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</si>
</sst>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4" formatCode="_(&quot;$&quot;* #,##0.00_);_(&quot;$&quot;* \(#,##0.00\);_(&quot;$&quot;* &quot;-&quot;??_);_(@_)"/>
    <numFmt numFmtId="164" formatCode="&quot;$&quot;#,##0.00"/>
    <numFmt numFmtId="165" formatCode="[$₹-445]\ #,##0.00"/>
    <numFmt numFmtId="166" formatCode="[$₹-44B]#,##0.00"/>
    <numFmt numFmtId="167" formatCode="[$₹-860]\ #,##0.00"/>
  </numFmts>
  <fonts count="21">
    <font>
      <sz val="11"/>
      <color theme="1"/>
      <name val="Calibri"/>
      <family val="2"/>
      <scheme val="minor"/>
    </font>
    <font>
      <sz val="10"/>
      <color theme="1"/>
      <name val="Arial Unicode MS"/>
    </font>
    <font>
      <sz val="22"/>
      <color theme="1"/>
      <name val="Calibri"/>
      <family val="2"/>
      <scheme val="minor"/>
    </font>
    <font>
      <sz val="24"/>
      <color theme="1"/>
      <name val="Calibri"/>
      <family val="2"/>
      <scheme val="minor"/>
    </font>
    <font>
      <sz val="12"/>
      <color theme="1"/>
      <name val="Arial"/>
      <family val="2"/>
    </font>
    <font>
      <sz val="11"/>
      <color theme="1"/>
      <name val="Arial"/>
      <family val="2"/>
    </font>
    <font>
      <b/>
      <sz val="18"/>
      <color theme="1"/>
      <name val="Calibri"/>
      <family val="2"/>
      <scheme val="minor"/>
    </font>
    <font>
      <sz val="11"/>
      <color theme="1"/>
      <name val="Calibri"/>
      <family val="2"/>
      <scheme val="minor"/>
    </font>
    <font>
      <b/>
      <sz val="14"/>
      <color theme="0"/>
      <name val="Arial"/>
      <family val="2"/>
    </font>
    <font>
      <b/>
      <sz val="14"/>
      <color theme="1" tint="4.9989318521683403E-2"/>
      <name val="Arial"/>
      <family val="2"/>
    </font>
    <font>
      <b/>
      <sz val="20"/>
      <color theme="1"/>
      <name val="Calibri"/>
      <family val="2"/>
      <scheme val="minor"/>
    </font>
    <font>
      <b/>
      <sz val="28"/>
      <color theme="1"/>
      <name val="Calibri"/>
      <family val="2"/>
      <scheme val="minor"/>
    </font>
    <font>
      <b/>
      <sz val="11"/>
      <color theme="1"/>
      <name val="Calibri"/>
      <family val="2"/>
      <scheme val="minor"/>
    </font>
    <font>
      <sz val="12"/>
      <color theme="1"/>
      <name val="Calibri"/>
      <family val="2"/>
      <scheme val="minor"/>
    </font>
    <font>
      <b/>
      <sz val="12"/>
      <color theme="1"/>
      <name val="Calibri"/>
      <family val="2"/>
      <scheme val="minor"/>
    </font>
    <font>
      <b/>
      <sz val="16"/>
      <color theme="2" tint="-0.749992370372631"/>
      <name val="Calibri"/>
      <family val="2"/>
      <scheme val="minor"/>
    </font>
    <font>
      <sz val="11"/>
      <color theme="2" tint="-0.749992370372631"/>
      <name val="Calibri"/>
      <family val="2"/>
      <scheme val="minor"/>
    </font>
    <font>
      <sz val="9"/>
      <color theme="1"/>
      <name val="Calibri"/>
      <family val="2"/>
      <scheme val="minor"/>
    </font>
    <font>
      <sz val="9"/>
      <color rgb="FF505050"/>
      <name val="Calibri"/>
      <family val="2"/>
      <scheme val="minor"/>
    </font>
    <font>
      <sz val="11"/>
      <color rgb="FF505050"/>
      <name val="Calibri"/>
      <family val="2"/>
      <scheme val="minor"/>
    </font>
    <font>
      <b/>
      <sz val="9"/>
      <color rgb="FF505050"/>
      <name val="Calibri"/>
      <family val="2"/>
      <scheme val="minor"/>
    </font>
  </fonts>
  <fills count="6">
    <fill>
      <patternFill patternType="none"/>
    </fill>
    <fill>
      <patternFill patternType="gray125"/>
    </fill>
    <fill>
      <patternFill patternType="solid">
        <fgColor theme="0"/>
        <bgColor indexed="64"/>
      </patternFill>
    </fill>
    <fill>
      <patternFill patternType="solid">
        <fgColor theme="2" tint="-0.749992370372631"/>
        <bgColor theme="4" tint="0.79998168889431442"/>
      </patternFill>
    </fill>
    <fill>
      <patternFill patternType="solid">
        <fgColor rgb="FFF2F2F2"/>
        <bgColor indexed="64"/>
      </patternFill>
    </fill>
    <fill>
      <patternFill patternType="solid">
        <fgColor rgb="FFF2F2F2"/>
        <bgColor theme="4" tint="0.79998168889431442"/>
      </patternFill>
    </fill>
  </fills>
  <borders count="2">
    <border>
      <left/>
      <right/>
      <top/>
      <bottom/>
      <diagonal/>
    </border>
    <border>
      <left/>
      <right/>
      <top style="thin">
        <color theme="4" tint="0.39997558519241921"/>
      </top>
      <bottom/>
      <diagonal/>
    </border>
  </borders>
  <cellStyleXfs count="2">
    <xf numFmtId="0" fontId="0" fillId="0" borderId="0"/>
    <xf numFmtId="44" fontId="7" fillId="0" borderId="0" applyFont="0" applyFill="0" applyBorder="0" applyAlignment="0" applyProtection="0"/>
  </cellStyleXfs>
  <cellXfs count="52">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2" borderId="0" xfId="0" applyFill="1"/>
    <xf numFmtId="0" fontId="0" fillId="2" borderId="0" xfId="0" applyFill="1" applyBorder="1"/>
    <xf numFmtId="0" fontId="1" fillId="2" borderId="0" xfId="0" applyFont="1" applyFill="1" applyAlignment="1">
      <alignment vertical="center"/>
    </xf>
    <xf numFmtId="0" fontId="0" fillId="0" borderId="0" xfId="0" applyAlignment="1">
      <alignment horizontal="center"/>
    </xf>
    <xf numFmtId="0" fontId="0" fillId="0" borderId="0" xfId="0" applyAlignment="1">
      <alignment horizontal="center"/>
    </xf>
    <xf numFmtId="0" fontId="0" fillId="0" borderId="0" xfId="0" applyAlignment="1"/>
    <xf numFmtId="0" fontId="9" fillId="2" borderId="0" xfId="0" applyFont="1" applyFill="1"/>
    <xf numFmtId="0" fontId="8" fillId="3" borderId="0" xfId="0" applyFont="1" applyFill="1" applyBorder="1" applyAlignment="1">
      <alignment vertical="center"/>
    </xf>
    <xf numFmtId="0" fontId="8" fillId="3" borderId="0" xfId="0" applyFont="1" applyFill="1" applyBorder="1"/>
    <xf numFmtId="0" fontId="3" fillId="2" borderId="0" xfId="0" applyFont="1" applyFill="1" applyBorder="1" applyAlignment="1"/>
    <xf numFmtId="164" fontId="2" fillId="2" borderId="0" xfId="0" applyNumberFormat="1" applyFont="1" applyFill="1" applyBorder="1" applyAlignment="1"/>
    <xf numFmtId="0" fontId="2" fillId="2" borderId="0" xfId="0" applyFont="1" applyFill="1" applyBorder="1" applyAlignment="1"/>
    <xf numFmtId="44" fontId="3" fillId="2" borderId="0" xfId="0" applyNumberFormat="1" applyFont="1" applyFill="1" applyBorder="1" applyAlignment="1"/>
    <xf numFmtId="0" fontId="1" fillId="4" borderId="1" xfId="0" applyFont="1" applyFill="1" applyBorder="1" applyAlignment="1">
      <alignment vertical="center"/>
    </xf>
    <xf numFmtId="14" fontId="0" fillId="4" borderId="1" xfId="0" applyNumberFormat="1" applyFont="1" applyFill="1" applyBorder="1"/>
    <xf numFmtId="0" fontId="0" fillId="4" borderId="1" xfId="0" applyFont="1" applyFill="1" applyBorder="1"/>
    <xf numFmtId="0" fontId="1" fillId="5" borderId="1" xfId="0" applyFont="1" applyFill="1" applyBorder="1" applyAlignment="1">
      <alignment vertical="center"/>
    </xf>
    <xf numFmtId="14" fontId="0" fillId="5" borderId="1" xfId="0" applyNumberFormat="1" applyFont="1" applyFill="1" applyBorder="1"/>
    <xf numFmtId="0" fontId="0" fillId="5" borderId="1" xfId="0" applyFont="1" applyFill="1" applyBorder="1"/>
    <xf numFmtId="165" fontId="8" fillId="3" borderId="0" xfId="0" applyNumberFormat="1" applyFont="1" applyFill="1" applyBorder="1"/>
    <xf numFmtId="165" fontId="0" fillId="4" borderId="1" xfId="0" applyNumberFormat="1" applyFont="1" applyFill="1" applyBorder="1"/>
    <xf numFmtId="165" fontId="0" fillId="5" borderId="1" xfId="0" applyNumberFormat="1" applyFont="1" applyFill="1" applyBorder="1"/>
    <xf numFmtId="165" fontId="0" fillId="2" borderId="0" xfId="0" applyNumberFormat="1" applyFill="1"/>
    <xf numFmtId="166" fontId="8" fillId="3" borderId="0" xfId="1" applyNumberFormat="1" applyFont="1" applyFill="1" applyBorder="1"/>
    <xf numFmtId="166" fontId="0" fillId="4" borderId="1" xfId="0" applyNumberFormat="1" applyFont="1" applyFill="1" applyBorder="1"/>
    <xf numFmtId="166" fontId="0" fillId="5" borderId="1" xfId="0" applyNumberFormat="1" applyFont="1" applyFill="1" applyBorder="1"/>
    <xf numFmtId="166" fontId="0" fillId="2" borderId="0" xfId="0" applyNumberFormat="1" applyFill="1"/>
    <xf numFmtId="166" fontId="8" fillId="3" borderId="0" xfId="0" applyNumberFormat="1" applyFont="1" applyFill="1" applyBorder="1"/>
    <xf numFmtId="0" fontId="13" fillId="2" borderId="0" xfId="0" applyFont="1" applyFill="1" applyBorder="1"/>
    <xf numFmtId="0" fontId="14" fillId="2" borderId="0" xfId="0" applyFont="1" applyFill="1" applyBorder="1"/>
    <xf numFmtId="0" fontId="15" fillId="2" borderId="0" xfId="0" applyFont="1" applyFill="1" applyBorder="1"/>
    <xf numFmtId="0" fontId="16" fillId="2" borderId="0" xfId="0" applyFont="1" applyFill="1" applyBorder="1"/>
    <xf numFmtId="0" fontId="0" fillId="2" borderId="0" xfId="0" applyFont="1" applyFill="1" applyBorder="1"/>
    <xf numFmtId="167" fontId="13" fillId="2" borderId="0" xfId="0" applyNumberFormat="1" applyFont="1" applyFill="1" applyBorder="1"/>
    <xf numFmtId="0" fontId="17" fillId="2" borderId="0" xfId="0" applyFont="1" applyFill="1" applyBorder="1"/>
    <xf numFmtId="0" fontId="18" fillId="2" borderId="0" xfId="0" applyFont="1" applyFill="1" applyBorder="1"/>
    <xf numFmtId="0" fontId="19" fillId="2" borderId="0" xfId="0" applyFont="1" applyFill="1" applyBorder="1"/>
    <xf numFmtId="0" fontId="20" fillId="2" borderId="0" xfId="0" applyFont="1" applyFill="1" applyBorder="1"/>
    <xf numFmtId="0" fontId="6" fillId="0" borderId="0" xfId="0" applyFont="1" applyBorder="1" applyAlignment="1">
      <alignment horizontal="center"/>
    </xf>
    <xf numFmtId="0" fontId="0" fillId="0" borderId="0" xfId="0" applyFont="1" applyBorder="1" applyAlignment="1">
      <alignment horizontal="center"/>
    </xf>
    <xf numFmtId="0" fontId="11" fillId="2" borderId="0" xfId="0" applyFont="1" applyFill="1" applyAlignment="1">
      <alignment horizontal="center"/>
    </xf>
    <xf numFmtId="0" fontId="0" fillId="2" borderId="0" xfId="0" applyFill="1" applyAlignment="1">
      <alignment horizontal="center"/>
    </xf>
    <xf numFmtId="0" fontId="10" fillId="2" borderId="0" xfId="0" applyFont="1" applyFill="1" applyBorder="1" applyAlignment="1">
      <alignment horizontal="center"/>
    </xf>
    <xf numFmtId="0" fontId="0" fillId="2" borderId="0" xfId="0" applyFill="1" applyBorder="1" applyAlignment="1">
      <alignment horizontal="center"/>
    </xf>
    <xf numFmtId="0" fontId="4" fillId="2" borderId="0" xfId="0" applyFont="1" applyFill="1" applyBorder="1" applyAlignment="1">
      <alignment horizontal="center"/>
    </xf>
    <xf numFmtId="0" fontId="5" fillId="2" borderId="0" xfId="0" applyFont="1" applyFill="1" applyBorder="1" applyAlignment="1">
      <alignment horizontal="center"/>
    </xf>
    <xf numFmtId="0" fontId="6" fillId="0" borderId="0" xfId="0" applyNumberFormat="1" applyFont="1" applyBorder="1" applyAlignment="1">
      <alignment horizontal="center"/>
    </xf>
    <xf numFmtId="0" fontId="0" fillId="0" borderId="0" xfId="0" applyNumberFormat="1" applyFont="1" applyBorder="1" applyAlignment="1">
      <alignment horizontal="center"/>
    </xf>
  </cellXfs>
  <cellStyles count="2">
    <cellStyle name="Currency" xfId="1" builtinId="4"/>
    <cellStyle name="Normal" xfId="0" builtinId="0"/>
  </cellStyles>
  <dxfs count="18">
    <dxf>
      <font>
        <b val="0"/>
        <i val="0"/>
        <strike val="0"/>
        <condense val="0"/>
        <extend val="0"/>
        <outline val="0"/>
        <shadow val="0"/>
        <u val="none"/>
        <vertAlign val="baseline"/>
        <sz val="11"/>
        <color theme="1"/>
        <name val="Calibri"/>
        <scheme val="minor"/>
      </font>
      <numFmt numFmtId="166" formatCode="[$₹-44B]#,##0.00"/>
      <fill>
        <patternFill patternType="solid">
          <fgColor theme="4" tint="0.79998168889431442"/>
          <bgColor rgb="FFF2F2F2"/>
        </patternFill>
      </fill>
      <border diagonalUp="0" diagonalDown="0">
        <left/>
        <right/>
        <top style="thin">
          <color theme="4" tint="0.39997558519241921"/>
        </top>
        <bottom/>
      </border>
    </dxf>
    <dxf>
      <font>
        <b val="0"/>
        <i val="0"/>
        <strike val="0"/>
        <condense val="0"/>
        <extend val="0"/>
        <outline val="0"/>
        <shadow val="0"/>
        <u val="none"/>
        <vertAlign val="baseline"/>
        <sz val="11"/>
        <color theme="1"/>
        <name val="Calibri"/>
        <scheme val="minor"/>
      </font>
      <numFmt numFmtId="166" formatCode="[$₹-44B]#,##0.00"/>
      <fill>
        <patternFill patternType="solid">
          <fgColor theme="4" tint="0.79998168889431442"/>
          <bgColor rgb="FFF2F2F2"/>
        </patternFill>
      </fill>
      <border diagonalUp="0" diagonalDown="0">
        <left/>
        <right/>
        <top style="thin">
          <color theme="4" tint="0.39997558519241921"/>
        </top>
        <bottom/>
      </border>
    </dxf>
    <dxf>
      <font>
        <b val="0"/>
        <i val="0"/>
        <strike val="0"/>
        <condense val="0"/>
        <extend val="0"/>
        <outline val="0"/>
        <shadow val="0"/>
        <u val="none"/>
        <vertAlign val="baseline"/>
        <sz val="11"/>
        <color theme="1"/>
        <name val="Calibri"/>
        <scheme val="minor"/>
      </font>
      <numFmt numFmtId="165" formatCode="[$₹-445]\ #,##0.00"/>
      <fill>
        <patternFill patternType="solid">
          <fgColor theme="4" tint="0.79998168889431442"/>
          <bgColor rgb="FFF2F2F2"/>
        </patternFill>
      </fill>
      <border diagonalUp="0" diagonalDown="0">
        <left/>
        <right/>
        <top style="thin">
          <color theme="4" tint="0.39997558519241921"/>
        </top>
        <bottom/>
      </border>
    </dxf>
    <dxf>
      <font>
        <b val="0"/>
        <i val="0"/>
        <strike val="0"/>
        <condense val="0"/>
        <extend val="0"/>
        <outline val="0"/>
        <shadow val="0"/>
        <u val="none"/>
        <vertAlign val="baseline"/>
        <sz val="11"/>
        <color theme="1"/>
        <name val="Calibri"/>
        <scheme val="minor"/>
      </font>
      <fill>
        <patternFill patternType="solid">
          <fgColor theme="4" tint="0.79998168889431442"/>
          <bgColor rgb="FFF2F2F2"/>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scheme val="minor"/>
      </font>
      <numFmt numFmtId="166" formatCode="[$₹-44B]#,##0.00"/>
      <fill>
        <patternFill patternType="solid">
          <fgColor theme="4" tint="0.79998168889431442"/>
          <bgColor rgb="FFF2F2F2"/>
        </patternFill>
      </fill>
      <border diagonalUp="0" diagonalDown="0">
        <left/>
        <right/>
        <top style="thin">
          <color theme="4" tint="0.39997558519241921"/>
        </top>
        <bottom/>
      </border>
    </dxf>
    <dxf>
      <font>
        <b val="0"/>
        <i val="0"/>
        <strike val="0"/>
        <condense val="0"/>
        <extend val="0"/>
        <outline val="0"/>
        <shadow val="0"/>
        <u val="none"/>
        <vertAlign val="baseline"/>
        <sz val="11"/>
        <color theme="1"/>
        <name val="Calibri"/>
        <scheme val="minor"/>
      </font>
      <numFmt numFmtId="166" formatCode="[$₹-44B]#,##0.00"/>
      <fill>
        <patternFill patternType="solid">
          <fgColor theme="4" tint="0.79998168889431442"/>
          <bgColor rgb="FFF2F2F2"/>
        </patternFill>
      </fill>
      <border diagonalUp="0" diagonalDown="0">
        <left/>
        <right/>
        <top style="thin">
          <color theme="4" tint="0.39997558519241921"/>
        </top>
        <bottom/>
      </border>
    </dxf>
    <dxf>
      <font>
        <b val="0"/>
        <i val="0"/>
        <strike val="0"/>
        <condense val="0"/>
        <extend val="0"/>
        <outline val="0"/>
        <shadow val="0"/>
        <u val="none"/>
        <vertAlign val="baseline"/>
        <sz val="11"/>
        <color theme="1"/>
        <name val="Calibri"/>
        <scheme val="minor"/>
      </font>
      <fill>
        <patternFill patternType="solid">
          <fgColor theme="4" tint="0.79998168889431442"/>
          <bgColor rgb="FFF2F2F2"/>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scheme val="minor"/>
      </font>
      <fill>
        <patternFill patternType="solid">
          <fgColor theme="4" tint="0.79998168889431442"/>
          <bgColor rgb="FFF2F2F2"/>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scheme val="minor"/>
      </font>
      <fill>
        <patternFill patternType="solid">
          <fgColor theme="4" tint="0.79998168889431442"/>
          <bgColor rgb="FFF2F2F2"/>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scheme val="minor"/>
      </font>
      <fill>
        <patternFill patternType="solid">
          <fgColor theme="4" tint="0.79998168889431442"/>
          <bgColor rgb="FFF2F2F2"/>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scheme val="minor"/>
      </font>
      <fill>
        <patternFill patternType="solid">
          <fgColor theme="4" tint="0.79998168889431442"/>
          <bgColor rgb="FFF2F2F2"/>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scheme val="minor"/>
      </font>
      <fill>
        <patternFill patternType="solid">
          <fgColor theme="4" tint="0.79998168889431442"/>
          <bgColor rgb="FFF2F2F2"/>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scheme val="minor"/>
      </font>
      <numFmt numFmtId="19" formatCode="m/d/yyyy"/>
      <fill>
        <patternFill patternType="solid">
          <fgColor theme="4" tint="0.79998168889431442"/>
          <bgColor rgb="FFF2F2F2"/>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scheme val="minor"/>
      </font>
      <numFmt numFmtId="19" formatCode="m/d/yyyy"/>
      <fill>
        <patternFill patternType="solid">
          <fgColor theme="4" tint="0.79998168889431442"/>
          <bgColor rgb="FFF2F2F2"/>
        </patternFill>
      </fill>
      <border diagonalUp="0" diagonalDown="0" outline="0">
        <left/>
        <right/>
        <top style="thin">
          <color theme="4" tint="0.39997558519241921"/>
        </top>
        <bottom/>
      </border>
    </dxf>
    <dxf>
      <font>
        <b val="0"/>
        <i val="0"/>
        <strike val="0"/>
        <condense val="0"/>
        <extend val="0"/>
        <outline val="0"/>
        <shadow val="0"/>
        <u val="none"/>
        <vertAlign val="baseline"/>
        <sz val="10"/>
        <color theme="1"/>
        <name val="Arial Unicode MS"/>
        <scheme val="none"/>
      </font>
      <fill>
        <patternFill patternType="solid">
          <fgColor theme="4" tint="0.79998168889431442"/>
          <bgColor rgb="FFF2F2F2"/>
        </patternFill>
      </fill>
      <alignment horizontal="general" vertical="center" textRotation="0" wrapText="0" indent="0" justifyLastLine="0" shrinkToFit="0" readingOrder="0"/>
      <border diagonalUp="0" diagonalDown="0" outline="0">
        <left/>
        <right/>
        <top style="thin">
          <color theme="4" tint="0.39997558519241921"/>
        </top>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ill>
        <patternFill patternType="solid">
          <bgColor rgb="FFF2F2F2"/>
        </patternFill>
      </fill>
    </dxf>
    <dxf>
      <font>
        <color rgb="FF9C0006"/>
      </font>
      <fill>
        <patternFill>
          <bgColor rgb="FFFFC7CE"/>
        </patternFill>
      </fill>
    </dxf>
  </dxfs>
  <tableStyles count="0" defaultTableStyle="TableStyleMedium2" defaultPivotStyle="PivotStyleLight16"/>
  <colors>
    <mruColors>
      <color rgb="FF505050"/>
      <color rgb="FFF2F2F2"/>
      <color rgb="FF6666FF"/>
      <color rgb="FF6600CC"/>
      <color rgb="FFFF6600"/>
      <color rgb="FFFFCC66"/>
      <color rgb="FFFF33CC"/>
      <color rgb="FFCC0099"/>
      <color rgb="FF003366"/>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[Blinkit_Data_Analysis_Project (1).xlsx]Quantity Analysis Dashboard!PivotTable3</c:name>
    <c:fmtId val="7"/>
  </c:pivotSource>
  <c:chart>
    <c:title>
      <c:tx>
        <c:rich>
          <a:bodyPr rot="0" spcFirstLastPara="1" vertOverflow="ellipsis" vert="horz" wrap="square" anchor="ctr" anchorCtr="1"/>
          <a:lstStyle/>
          <a:p>
            <a:pPr>
              <a:defRPr sz="1800" b="1" i="0" u="sng" strike="noStrike" kern="1200" baseline="0">
                <a:ln>
                  <a:noFill/>
                </a:ln>
                <a:solidFill>
                  <a:schemeClr val="tx1"/>
                </a:solidFill>
                <a:effectLst/>
                <a:latin typeface="+mn-lt"/>
                <a:ea typeface="+mn-ea"/>
                <a:cs typeface="+mn-cs"/>
              </a:defRPr>
            </a:pPr>
            <a:r>
              <a:rPr lang="en-US" sz="1600" u="sng" baseline="0">
                <a:ln>
                  <a:noFill/>
                </a:ln>
                <a:solidFill>
                  <a:schemeClr val="tx1"/>
                </a:solidFill>
                <a:effectLst/>
              </a:rPr>
              <a:t>Quantity by product</a:t>
            </a:r>
            <a:endParaRPr lang="en-US" sz="1600" u="sng">
              <a:ln>
                <a:noFill/>
              </a:ln>
              <a:solidFill>
                <a:schemeClr val="tx1"/>
              </a:solidFill>
              <a:effectLst/>
            </a:endParaRPr>
          </a:p>
        </c:rich>
      </c:tx>
      <c:layout>
        <c:manualLayout>
          <c:xMode val="edge"/>
          <c:yMode val="edge"/>
          <c:x val="0.21631557514379707"/>
          <c:y val="9.4090781046204705E-2"/>
        </c:manualLayout>
      </c:layout>
      <c:overlay val="0"/>
      <c:spPr>
        <a:noFill/>
        <a:ln>
          <a:noFill/>
        </a:ln>
        <a:effectLst/>
      </c:spPr>
      <c:txPr>
        <a:bodyPr rot="0" spcFirstLastPara="1" vertOverflow="ellipsis" vert="horz" wrap="square" anchor="ctr" anchorCtr="1"/>
        <a:lstStyle/>
        <a:p>
          <a:pPr>
            <a:defRPr sz="1800" b="1" i="0" u="sng" strike="noStrike" kern="1200" baseline="0">
              <a:ln>
                <a:noFill/>
              </a:ln>
              <a:solidFill>
                <a:schemeClr val="tx1"/>
              </a:solidFill>
              <a:effectLst/>
              <a:latin typeface="+mn-lt"/>
              <a:ea typeface="+mn-ea"/>
              <a:cs typeface="+mn-cs"/>
            </a:defRPr>
          </a:pPr>
          <a:endParaRPr lang="en-US"/>
        </a:p>
      </c:txPr>
    </c:title>
    <c:autoTitleDeleted val="0"/>
    <c:pivotFmts>
      <c:pivotFmt>
        <c:idx val="0"/>
      </c:pivotFmt>
      <c:pivotFmt>
        <c:idx val="1"/>
        <c:spPr>
          <a:solidFill>
            <a:schemeClr val="accent1"/>
          </a:solidFill>
          <a:ln>
            <a:noFill/>
          </a:ln>
          <a:effectLst>
            <a:outerShdw blurRad="254000" sx="102000" sy="102000" algn="ctr" rotWithShape="0">
              <a:prstClr val="black">
                <a:alpha val="20000"/>
              </a:prstClr>
            </a:outerShdw>
          </a:effectLst>
        </c:spPr>
        <c:marker>
          <c:spPr>
            <a:solidFill>
              <a:schemeClr val="accent1">
                <a:alpha val="85000"/>
              </a:schemeClr>
            </a:solidFill>
            <a:ln>
              <a:noFill/>
            </a:ln>
            <a:effectLst/>
          </c:spPr>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1"/>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dLbl>
          <c:idx val="0"/>
          <c:layout>
            <c:manualLayout>
              <c:x val="-1.572738278517832E-2"/>
              <c:y val="2.8037374924608161E-2"/>
            </c:manualLayout>
          </c:layout>
          <c:dLblPos val="bestFit"/>
          <c:showLegendKey val="1"/>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dLbl>
          <c:idx val="0"/>
          <c:layout>
            <c:manualLayout>
              <c:x val="-4.4036671798499294E-2"/>
              <c:y val="5.6074749849216274E-2"/>
            </c:manualLayout>
          </c:layout>
          <c:dLblPos val="bestFit"/>
          <c:showLegendKey val="1"/>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dLbl>
          <c:idx val="0"/>
          <c:layout>
            <c:manualLayout>
              <c:x val="-0.11166441777476607"/>
              <c:y val="5.6074749849216315E-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1"/>
          <c:showVal val="0"/>
          <c:showCatName val="1"/>
          <c:showSerName val="0"/>
          <c:showPercent val="1"/>
          <c:showBubbleSize val="0"/>
          <c:extLst>
            <c:ext xmlns:c15="http://schemas.microsoft.com/office/drawing/2012/chart" uri="{CE6537A1-D6FC-4f65-9D91-7224C49458BB}">
              <c15:layout>
                <c:manualLayout>
                  <c:w val="0.11145835190898228"/>
                  <c:h val="0.16491583930654521"/>
                </c:manualLayout>
              </c15:layout>
            </c:ext>
          </c:extLst>
        </c:dLbl>
      </c:pivotFmt>
      <c:pivotFmt>
        <c:idx val="7"/>
        <c:spPr>
          <a:solidFill>
            <a:schemeClr val="accent1"/>
          </a:solidFill>
          <a:ln>
            <a:noFill/>
          </a:ln>
          <a:effectLst>
            <a:outerShdw blurRad="254000" sx="102000" sy="102000" algn="ctr" rotWithShape="0">
              <a:prstClr val="black">
                <a:alpha val="20000"/>
              </a:prstClr>
            </a:outerShdw>
          </a:effectLst>
        </c:spPr>
        <c:dLbl>
          <c:idx val="0"/>
          <c:layout>
            <c:manualLayout>
              <c:x val="4.7182148355534949E-2"/>
              <c:y val="-1.121494996984327E-2"/>
            </c:manualLayout>
          </c:layout>
          <c:dLblPos val="bestFit"/>
          <c:showLegendKey val="1"/>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1"/>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dLbl>
          <c:idx val="0"/>
          <c:layout>
            <c:manualLayout>
              <c:x val="-1.572738278517832E-2"/>
              <c:y val="2.8037374924608161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1"/>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c:spPr>
        <c:dLbl>
          <c:idx val="0"/>
          <c:layout>
            <c:manualLayout>
              <c:x val="-4.4036671798499294E-2"/>
              <c:y val="5.6074749849216274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1"/>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254000" sx="102000" sy="102000" algn="ctr" rotWithShape="0">
              <a:prstClr val="black">
                <a:alpha val="20000"/>
              </a:prstClr>
            </a:outerShdw>
          </a:effectLst>
        </c:spPr>
        <c:dLbl>
          <c:idx val="0"/>
          <c:layout>
            <c:manualLayout>
              <c:x val="-0.11166441777476607"/>
              <c:y val="5.6074749849216315E-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1"/>
          <c:showVal val="0"/>
          <c:showCatName val="1"/>
          <c:showSerName val="0"/>
          <c:showPercent val="1"/>
          <c:showBubbleSize val="0"/>
          <c:extLst>
            <c:ext xmlns:c15="http://schemas.microsoft.com/office/drawing/2012/chart" uri="{CE6537A1-D6FC-4f65-9D91-7224C49458BB}">
              <c15:layout>
                <c:manualLayout>
                  <c:w val="0.11145835190898228"/>
                  <c:h val="0.16491583930654521"/>
                </c:manualLayout>
              </c15:layout>
            </c:ext>
          </c:extLst>
        </c:dLbl>
      </c:pivotFmt>
      <c:pivotFmt>
        <c:idx val="13"/>
        <c:spPr>
          <a:solidFill>
            <a:schemeClr val="accent1"/>
          </a:solidFill>
          <a:ln>
            <a:noFill/>
          </a:ln>
          <a:effectLst>
            <a:outerShdw blurRad="254000" sx="102000" sy="102000" algn="ctr" rotWithShape="0">
              <a:prstClr val="black">
                <a:alpha val="20000"/>
              </a:prstClr>
            </a:outerShdw>
          </a:effectLst>
        </c:spPr>
        <c:dLbl>
          <c:idx val="0"/>
          <c:layout>
            <c:manualLayout>
              <c:x val="4.7182148355534949E-2"/>
              <c:y val="-1.121494996984327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1"/>
          <c:showVal val="0"/>
          <c:showCatName val="1"/>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dLbl>
          <c:idx val="0"/>
          <c:layout>
            <c:manualLayout>
              <c:x val="-4.4029456436332721E-2"/>
              <c:y val="0.53463429571303589"/>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8"/>
        <c:spPr>
          <a:solidFill>
            <a:schemeClr val="accent1"/>
          </a:solidFill>
          <a:ln>
            <a:noFill/>
          </a:ln>
          <a:effectLst>
            <a:outerShdw blurRad="254000" sx="102000" sy="102000" algn="ctr" rotWithShape="0">
              <a:prstClr val="black">
                <a:alpha val="20000"/>
              </a:prstClr>
            </a:outerShdw>
          </a:effectLst>
        </c:spPr>
        <c:dLbl>
          <c:idx val="0"/>
          <c:layout>
            <c:manualLayout>
              <c:x val="1.7456857473196162E-2"/>
              <c:y val="1.081758530183727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dLbl>
          <c:idx val="0"/>
          <c:layout>
            <c:manualLayout>
              <c:x val="0.27297779458873478"/>
              <c:y val="7.3097112860892393E-4"/>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2"/>
        <c:spPr>
          <a:solidFill>
            <a:schemeClr val="accent1"/>
          </a:solidFill>
          <a:ln>
            <a:noFill/>
          </a:ln>
          <a:effectLst>
            <a:outerShdw blurRad="254000" sx="102000" sy="102000" algn="ctr" rotWithShape="0">
              <a:prstClr val="black">
                <a:alpha val="20000"/>
              </a:prstClr>
            </a:outerShdw>
          </a:effectLst>
        </c:spPr>
      </c:pivotFmt>
      <c:pivotFmt>
        <c:idx val="23"/>
        <c:spPr>
          <a:solidFill>
            <a:schemeClr val="accent1"/>
          </a:solidFill>
          <a:ln>
            <a:noFill/>
          </a:ln>
          <a:effectLst>
            <a:outerShdw blurRad="254000" sx="102000" sy="102000" algn="ctr" rotWithShape="0">
              <a:prstClr val="black">
                <a:alpha val="20000"/>
              </a:prstClr>
            </a:outerShdw>
          </a:effectLst>
        </c:spPr>
        <c:dLbl>
          <c:idx val="0"/>
          <c:layout>
            <c:manualLayout>
              <c:x val="1.7456857473196162E-2"/>
              <c:y val="1.081758530183727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4"/>
        <c:spPr>
          <a:solidFill>
            <a:schemeClr val="accent1"/>
          </a:solidFill>
          <a:ln>
            <a:noFill/>
          </a:ln>
          <a:effectLst>
            <a:outerShdw blurRad="254000" sx="102000" sy="102000" algn="ctr" rotWithShape="0">
              <a:prstClr val="black">
                <a:alpha val="20000"/>
              </a:prstClr>
            </a:outerShdw>
          </a:effectLst>
        </c:spPr>
        <c:dLbl>
          <c:idx val="0"/>
          <c:layout>
            <c:manualLayout>
              <c:x val="-4.4029456436332721E-2"/>
              <c:y val="0.53463429571303589"/>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5"/>
        <c:spPr>
          <a:solidFill>
            <a:schemeClr val="accent1"/>
          </a:solidFill>
          <a:ln>
            <a:noFill/>
          </a:ln>
          <a:effectLst>
            <a:outerShdw blurRad="254000" sx="102000" sy="102000" algn="ctr" rotWithShape="0">
              <a:prstClr val="black">
                <a:alpha val="20000"/>
              </a:prstClr>
            </a:outerShdw>
          </a:effectLst>
        </c:spPr>
        <c:dLbl>
          <c:idx val="0"/>
          <c:layout>
            <c:manualLayout>
              <c:x val="0.27297779458873478"/>
              <c:y val="7.3097112860892393E-4"/>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6"/>
        <c:spPr>
          <a:solidFill>
            <a:schemeClr val="accent1"/>
          </a:solidFill>
          <a:ln>
            <a:noFill/>
          </a:ln>
          <a:effectLst>
            <a:outerShdw blurRad="254000" sx="102000" sy="102000" algn="ctr" rotWithShape="0">
              <a:prstClr val="black">
                <a:alpha val="20000"/>
              </a:prstClr>
            </a:outerShdw>
          </a:effectLst>
        </c:spPr>
      </c:pivotFmt>
      <c:pivotFmt>
        <c:idx val="2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8"/>
        <c:spPr>
          <a:solidFill>
            <a:schemeClr val="accent1"/>
          </a:solidFill>
          <a:ln>
            <a:noFill/>
          </a:ln>
          <a:effectLst>
            <a:outerShdw blurRad="254000" sx="102000" sy="102000" algn="ctr" rotWithShape="0">
              <a:prstClr val="black">
                <a:alpha val="20000"/>
              </a:prstClr>
            </a:outerShdw>
          </a:effectLst>
        </c:spPr>
        <c:marker>
          <c:symbol val="none"/>
        </c:marker>
      </c:pivotFmt>
      <c:pivotFmt>
        <c:idx val="29"/>
        <c:spPr>
          <a:solidFill>
            <a:schemeClr val="accent1"/>
          </a:solidFill>
          <a:ln>
            <a:noFill/>
          </a:ln>
          <a:effectLst>
            <a:outerShdw blurRad="254000" sx="102000" sy="102000" algn="ctr" rotWithShape="0">
              <a:prstClr val="black">
                <a:alpha val="20000"/>
              </a:prstClr>
            </a:outerShdw>
          </a:effectLst>
        </c:spPr>
        <c:marker>
          <c:symbol val="none"/>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ext>
          </c:extLst>
        </c:dLbl>
      </c:pivotFmt>
      <c:pivotFmt>
        <c:idx val="30"/>
        <c:spPr>
          <a:solidFill>
            <a:schemeClr val="accent1"/>
          </a:solidFill>
          <a:ln>
            <a:noFill/>
          </a:ln>
          <a:effectLst>
            <a:outerShdw blurRad="254000" sx="102000" sy="102000" algn="ctr" rotWithShape="0">
              <a:prstClr val="black">
                <a:alpha val="20000"/>
              </a:prstClr>
            </a:outerShdw>
          </a:effectLst>
        </c:spPr>
      </c:pivotFmt>
      <c:pivotFmt>
        <c:idx val="31"/>
        <c:spPr>
          <a:solidFill>
            <a:schemeClr val="accent1"/>
          </a:solidFill>
          <a:ln>
            <a:noFill/>
          </a:ln>
          <a:effectLst>
            <a:outerShdw blurRad="254000" sx="102000" sy="102000" algn="ctr" rotWithShape="0">
              <a:prstClr val="black">
                <a:alpha val="20000"/>
              </a:prstClr>
            </a:outerShdw>
          </a:effectLst>
        </c:spPr>
      </c:pivotFmt>
      <c:pivotFmt>
        <c:idx val="32"/>
        <c:spPr>
          <a:solidFill>
            <a:schemeClr val="accent1"/>
          </a:solidFill>
          <a:ln>
            <a:noFill/>
          </a:ln>
          <a:effectLst>
            <a:outerShdw blurRad="254000" sx="102000" sy="102000" algn="ctr" rotWithShape="0">
              <a:prstClr val="black">
                <a:alpha val="20000"/>
              </a:prstClr>
            </a:outerShdw>
          </a:effectLst>
        </c:spPr>
      </c:pivotFmt>
      <c:pivotFmt>
        <c:idx val="33"/>
        <c:spPr>
          <a:solidFill>
            <a:schemeClr val="accent1"/>
          </a:solidFill>
          <a:ln>
            <a:noFill/>
          </a:ln>
          <a:effectLst>
            <a:outerShdw blurRad="254000" sx="102000" sy="102000" algn="ctr" rotWithShape="0">
              <a:prstClr val="black">
                <a:alpha val="20000"/>
              </a:prstClr>
            </a:outerShdw>
          </a:effectLst>
        </c:spPr>
      </c:pivotFmt>
      <c:pivotFmt>
        <c:idx val="34"/>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'Quantity Analysis Dashboard'!$E$5</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7F1-4350-8CA4-CBBD8D3B65E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7F1-4350-8CA4-CBBD8D3B65EA}"/>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D7F1-4350-8CA4-CBBD8D3B65EA}"/>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D7F1-4350-8CA4-CBBD8D3B65EA}"/>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D7F1-4350-8CA4-CBBD8D3B65E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'Quantity Analysis Dashboard'!$D$6:$D$11</c:f>
              <c:strCache>
                <c:ptCount val="5"/>
                <c:pt idx="0">
                  <c:v>Rice</c:v>
                </c:pt>
                <c:pt idx="1">
                  <c:v>Milk</c:v>
                </c:pt>
                <c:pt idx="2">
                  <c:v>Cookies</c:v>
                </c:pt>
                <c:pt idx="3">
                  <c:v>Chips</c:v>
                </c:pt>
                <c:pt idx="4">
                  <c:v>Apple</c:v>
                </c:pt>
              </c:strCache>
            </c:strRef>
          </c:cat>
          <c:val>
            <c:numRef>
              <c:f>'Quantity Analysis Dashboard'!$E$6:$E$11</c:f>
              <c:numCache>
                <c:formatCode>General</c:formatCode>
                <c:ptCount val="5"/>
                <c:pt idx="0">
                  <c:v>5</c:v>
                </c:pt>
                <c:pt idx="1">
                  <c:v>20</c:v>
                </c:pt>
                <c:pt idx="2">
                  <c:v>5</c:v>
                </c:pt>
                <c:pt idx="3">
                  <c:v>5</c:v>
                </c:pt>
                <c:pt idx="4">
                  <c:v>5</c:v>
                </c:pt>
              </c:numCache>
            </c:numRef>
          </c:val>
          <c:extLst>
            <c:ext xmlns:c16="http://schemas.microsoft.com/office/drawing/2014/chart" uri="{C3380CC4-5D6E-409C-BE32-E72D297353CC}">
              <c16:uniqueId val="{0000000B-82D5-45D9-91CA-9F47AAE3279F}"/>
            </c:ext>
          </c:extLst>
        </c:ser>
        <c:dLbls>
          <c:dLblPos val="bestFit"/>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2704852669075228"/>
          <c:y val="0.42612335958005249"/>
          <c:w val="0.31134873225712217"/>
          <c:h val="0.549472878390201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[Blinkit_Data_Analysis_Project (1).xlsx]Quantity Analysis Dashboard!PivotTable2</c:name>
    <c:fmtId val="21"/>
  </c:pivotSource>
  <c:chart>
    <c:title>
      <c:tx>
        <c:rich>
          <a:bodyPr rot="0" spcFirstLastPara="1" vertOverflow="ellipsis" vert="horz" wrap="square" anchor="ctr" anchorCtr="1"/>
          <a:lstStyle/>
          <a:p>
            <a:pPr>
              <a:defRPr sz="1600" b="1" i="0" u="sng" strike="noStrike" kern="1200" baseline="0">
                <a:solidFill>
                  <a:schemeClr val="tx1">
                    <a:lumMod val="65000"/>
                    <a:lumOff val="35000"/>
                  </a:schemeClr>
                </a:solidFill>
                <a:latin typeface="+mn-lt"/>
                <a:ea typeface="+mn-ea"/>
                <a:cs typeface="+mn-cs"/>
              </a:defRPr>
            </a:pPr>
            <a:r>
              <a:rPr lang="en-US" u="sng" baseline="0">
                <a:solidFill>
                  <a:schemeClr val="tx1"/>
                </a:solidFill>
              </a:rPr>
              <a:t>Top Customers by Quantity Purchased</a:t>
            </a:r>
            <a:endParaRPr lang="en-US" u="sng">
              <a:solidFill>
                <a:schemeClr val="tx1"/>
              </a:solidFill>
            </a:endParaRPr>
          </a:p>
        </c:rich>
      </c:tx>
      <c:layout>
        <c:manualLayout>
          <c:xMode val="edge"/>
          <c:yMode val="edge"/>
          <c:x val="0.24909731731362206"/>
          <c:y val="0.19939802403487308"/>
        </c:manualLayout>
      </c:layout>
      <c:overlay val="0"/>
      <c:spPr>
        <a:noFill/>
        <a:ln>
          <a:noFill/>
        </a:ln>
        <a:effectLst/>
      </c:spPr>
      <c:txPr>
        <a:bodyPr rot="0" spcFirstLastPara="1" vertOverflow="ellipsis" vert="horz" wrap="square" anchor="ctr" anchorCtr="1"/>
        <a:lstStyle/>
        <a:p>
          <a:pPr>
            <a:defRPr sz="1600" b="1" i="0" u="sng"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'Quantity Analysis Dashboard'!$B$5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'Quantity Analysis Dashboard'!$A$6:$A$11</c:f>
              <c:strCache>
                <c:ptCount val="5"/>
                <c:pt idx="0">
                  <c:v>Raj Patel</c:v>
                </c:pt>
                <c:pt idx="1">
                  <c:v>Priya Jain</c:v>
                </c:pt>
                <c:pt idx="2">
                  <c:v>Harsh Agarwal</c:v>
                </c:pt>
                <c:pt idx="3">
                  <c:v>Arjun Singh</c:v>
                </c:pt>
                <c:pt idx="4">
                  <c:v>Anjali Desai</c:v>
                </c:pt>
              </c:strCache>
            </c:strRef>
          </c:cat>
          <c:val>
            <c:numRef>
              <c:f>'Quantity Analysis Dashboard'!$B$6:$B$11</c:f>
              <c:numCache>
                <c:formatCode>General</c:formatCode>
                <c:ptCount val="5"/>
                <c:pt idx="0">
                  <c:v>53</c:v>
                </c:pt>
                <c:pt idx="1">
                  <c:v>60</c:v>
                </c:pt>
                <c:pt idx="2">
                  <c:v>48</c:v>
                </c:pt>
                <c:pt idx="3">
                  <c:v>132</c:v>
                </c:pt>
                <c:pt idx="4">
                  <c:v>35</c:v>
                </c:pt>
              </c:numCache>
            </c:numRef>
          </c:val>
          <c:extLst>
            <c:ext xmlns:c16="http://schemas.microsoft.com/office/drawing/2014/chart" uri="{C3380CC4-5D6E-409C-BE32-E72D297353CC}">
              <c16:uniqueId val="{00000000-2F20-42C3-A16F-F9A209D68755}"/>
            </c:ext>
          </c:extLst>
        </c:ser>
        <c:dLbls>
          <c:dLblPos val="outEnd"/>
          <c:showLegendKey val="0"/>
          <c:showVal val="1"/>
          <c:showCatName val="0"/>
          <c:showSerName val="0"/>
          <c:showPercent val="0"/>
          <c:showBubbleSize val="0"/>
        </c:dLbls>
        <c:gapWidth val="100"/>
        <c:overlap val="-24"/>
        <c:axId val="242806911"/>
        <c:axId val="242807327"/>
      </c:barChart>
      <c:catAx>
        <c:axId val="24280691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2807327"/>
        <c:crosses val="autoZero"/>
        <c:auto val="1"/>
        <c:lblAlgn val="ctr"/>
        <c:lblOffset val="100"/>
        <c:noMultiLvlLbl val="0"/>
      </c:catAx>
      <c:valAx>
        <c:axId val="2428073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280691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[Blinkit_Data_Analysis_Project (1).xlsx]Quantity Analysis Dashboard!PivotTable5</c:name>
    <c:fmtId val="1"/>
  </c:pivotSource>
  <c:chart>
    <c:title>
      <c:tx>
        <c:rich>
          <a:bodyPr rot="0" spcFirstLastPara="1" vertOverflow="ellipsis" vert="horz" wrap="square" anchor="ctr" anchorCtr="1"/>
          <a:lstStyle/>
          <a:p>
            <a:pPr>
              <a:defRPr sz="1600" b="1" i="0" u="sng"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u="sng"/>
              <a:t>Profit Contribution </a:t>
            </a:r>
            <a:r>
              <a:rPr lang="en-US" u="sng" baseline="0"/>
              <a:t> by Product</a:t>
            </a:r>
            <a:endParaRPr lang="en-US" u="sng"/>
          </a:p>
        </c:rich>
      </c:tx>
      <c:layout>
        <c:manualLayout>
          <c:xMode val="edge"/>
          <c:yMode val="edge"/>
          <c:x val="0.1828513947251984"/>
          <c:y val="0.15044671748796007"/>
        </c:manualLayout>
      </c:layout>
      <c:overlay val="0"/>
      <c:spPr>
        <a:noFill/>
        <a:ln>
          <a:noFill/>
        </a:ln>
        <a:effectLst/>
      </c:spPr>
      <c:txPr>
        <a:bodyPr rot="0" spcFirstLastPara="1" vertOverflow="ellipsis" vert="horz" wrap="square" anchor="ctr" anchorCtr="1"/>
        <a:lstStyle/>
        <a:p>
          <a:pPr>
            <a:defRPr sz="1600" b="1" i="0" u="sng"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effectLst>
                    <a:outerShdw blurRad="50800" dist="50800" dir="5400000" algn="ctr" rotWithShape="0">
                      <a:schemeClr val="tx1"/>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'Quantity Analysis Dashboard'!$H$5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'Quantity Analysis Dashboard'!$G$6:$G$11</c:f>
              <c:strCache>
                <c:ptCount val="5"/>
                <c:pt idx="0">
                  <c:v>Apple</c:v>
                </c:pt>
                <c:pt idx="1">
                  <c:v>Chips</c:v>
                </c:pt>
                <c:pt idx="2">
                  <c:v>Cookies</c:v>
                </c:pt>
                <c:pt idx="3">
                  <c:v>Milk</c:v>
                </c:pt>
                <c:pt idx="4">
                  <c:v>Rice</c:v>
                </c:pt>
              </c:strCache>
            </c:strRef>
          </c:cat>
          <c:val>
            <c:numRef>
              <c:f>'Quantity Analysis Dashboard'!$H$6:$H$11</c:f>
              <c:numCache>
                <c:formatCode>General</c:formatCode>
                <c:ptCount val="5"/>
                <c:pt idx="0">
                  <c:v>300</c:v>
                </c:pt>
                <c:pt idx="1">
                  <c:v>100</c:v>
                </c:pt>
                <c:pt idx="2">
                  <c:v>400</c:v>
                </c:pt>
                <c:pt idx="3">
                  <c:v>960</c:v>
                </c:pt>
                <c:pt idx="4">
                  <c:v>2300</c:v>
                </c:pt>
              </c:numCache>
            </c:numRef>
          </c:val>
          <c:extLst>
            <c:ext xmlns:c16="http://schemas.microsoft.com/office/drawing/2014/chart" uri="{C3380CC4-5D6E-409C-BE32-E72D297353CC}">
              <c16:uniqueId val="{00000001-9DD9-4EEF-B64E-61E2D4053672}"/>
            </c:ext>
          </c:extLst>
        </c:ser>
        <c:dLbls>
          <c:dLblPos val="outEnd"/>
          <c:showLegendKey val="0"/>
          <c:showVal val="1"/>
          <c:showCatName val="0"/>
          <c:showSerName val="0"/>
          <c:showPercent val="0"/>
          <c:showBubbleSize val="0"/>
        </c:dLbls>
        <c:gapWidth val="115"/>
        <c:overlap val="-20"/>
        <c:axId val="627808880"/>
        <c:axId val="627813456"/>
      </c:barChart>
      <c:catAx>
        <c:axId val="62780888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7813456"/>
        <c:crosses val="autoZero"/>
        <c:auto val="1"/>
        <c:lblAlgn val="ctr"/>
        <c:lblOffset val="100"/>
        <c:noMultiLvlLbl val="0"/>
      </c:catAx>
      <c:valAx>
        <c:axId val="62781345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780888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[Blinkit_Data_Analysis_Project (1).xlsx]Sales Analysis Dashboard!PivotTable3</c:name>
    <c:fmtId val="6"/>
  </c:pivotSource>
  <c:chart>
    <c:title>
      <c:tx>
        <c:rich>
          <a:bodyPr rot="0" spcFirstLastPara="1" vertOverflow="ellipsis" vert="horz" wrap="square" anchor="ctr" anchorCtr="1"/>
          <a:lstStyle/>
          <a:p>
            <a:pPr>
              <a:defRPr sz="1800" b="1" i="0" u="sng" strike="noStrike" kern="1200" baseline="0">
                <a:ln>
                  <a:noFill/>
                </a:ln>
                <a:solidFill>
                  <a:schemeClr val="tx1"/>
                </a:solidFill>
                <a:effectLst/>
                <a:latin typeface="+mn-lt"/>
                <a:ea typeface="+mn-ea"/>
                <a:cs typeface="+mn-cs"/>
              </a:defRPr>
            </a:pPr>
            <a:r>
              <a:rPr lang="en-US" sz="1600" u="sng">
                <a:ln>
                  <a:noFill/>
                </a:ln>
                <a:solidFill>
                  <a:schemeClr val="tx1"/>
                </a:solidFill>
                <a:effectLst/>
              </a:rPr>
              <a:t>Sales</a:t>
            </a:r>
            <a:r>
              <a:rPr lang="en-US" sz="1600" u="sng" baseline="0">
                <a:ln>
                  <a:noFill/>
                </a:ln>
                <a:solidFill>
                  <a:schemeClr val="tx1"/>
                </a:solidFill>
                <a:effectLst/>
              </a:rPr>
              <a:t> by product</a:t>
            </a:r>
            <a:endParaRPr lang="en-US" sz="1600" u="sng">
              <a:ln>
                <a:noFill/>
              </a:ln>
              <a:solidFill>
                <a:schemeClr val="tx1"/>
              </a:solidFill>
              <a:effectLst/>
            </a:endParaRPr>
          </a:p>
        </c:rich>
      </c:tx>
      <c:layout>
        <c:manualLayout>
          <c:xMode val="edge"/>
          <c:yMode val="edge"/>
          <c:x val="0.21631557514379707"/>
          <c:y val="9.4090781046204705E-2"/>
        </c:manualLayout>
      </c:layout>
      <c:overlay val="0"/>
      <c:spPr>
        <a:noFill/>
        <a:ln>
          <a:noFill/>
        </a:ln>
        <a:effectLst/>
      </c:spPr>
      <c:txPr>
        <a:bodyPr rot="0" spcFirstLastPara="1" vertOverflow="ellipsis" vert="horz" wrap="square" anchor="ctr" anchorCtr="1"/>
        <a:lstStyle/>
        <a:p>
          <a:pPr>
            <a:defRPr sz="1800" b="1" i="0" u="sng" strike="noStrike" kern="1200" baseline="0">
              <a:ln>
                <a:noFill/>
              </a:ln>
              <a:solidFill>
                <a:schemeClr val="tx1"/>
              </a:solidFill>
              <a:effectLst/>
              <a:latin typeface="+mn-lt"/>
              <a:ea typeface="+mn-ea"/>
              <a:cs typeface="+mn-cs"/>
            </a:defRPr>
          </a:pPr>
          <a:endParaRPr lang="en-US"/>
        </a:p>
      </c:txPr>
    </c:title>
    <c:autoTitleDeleted val="0"/>
    <c:pivotFmts>
      <c:pivotFmt>
        <c:idx val="0"/>
      </c:pivotFmt>
      <c:pivotFmt>
        <c:idx val="1"/>
        <c:spPr>
          <a:solidFill>
            <a:schemeClr val="accent1"/>
          </a:solidFill>
          <a:ln>
            <a:noFill/>
          </a:ln>
          <a:effectLst>
            <a:outerShdw blurRad="254000" sx="102000" sy="102000" algn="ctr" rotWithShape="0">
              <a:prstClr val="black">
                <a:alpha val="20000"/>
              </a:prstClr>
            </a:outerShdw>
          </a:effectLst>
        </c:spPr>
        <c:marker>
          <c:spPr>
            <a:solidFill>
              <a:schemeClr val="accent1">
                <a:alpha val="85000"/>
              </a:schemeClr>
            </a:solidFill>
            <a:ln>
              <a:noFill/>
            </a:ln>
            <a:effectLst/>
          </c:spPr>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1"/>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dLbl>
          <c:idx val="0"/>
          <c:layout>
            <c:manualLayout>
              <c:x val="-1.572738278517832E-2"/>
              <c:y val="2.8037374924608161E-2"/>
            </c:manualLayout>
          </c:layout>
          <c:dLblPos val="bestFit"/>
          <c:showLegendKey val="1"/>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dLbl>
          <c:idx val="0"/>
          <c:layout>
            <c:manualLayout>
              <c:x val="-4.4036671798499294E-2"/>
              <c:y val="5.6074749849216274E-2"/>
            </c:manualLayout>
          </c:layout>
          <c:dLblPos val="bestFit"/>
          <c:showLegendKey val="1"/>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dLbl>
          <c:idx val="0"/>
          <c:layout>
            <c:manualLayout>
              <c:x val="-0.11166441777476607"/>
              <c:y val="5.6074749849216315E-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1"/>
          <c:showVal val="0"/>
          <c:showCatName val="1"/>
          <c:showSerName val="0"/>
          <c:showPercent val="1"/>
          <c:showBubbleSize val="0"/>
          <c:extLst>
            <c:ext xmlns:c15="http://schemas.microsoft.com/office/drawing/2012/chart" uri="{CE6537A1-D6FC-4f65-9D91-7224C49458BB}">
              <c15:layout>
                <c:manualLayout>
                  <c:w val="0.11145835190898228"/>
                  <c:h val="0.16491583930654521"/>
                </c:manualLayout>
              </c15:layout>
            </c:ext>
          </c:extLst>
        </c:dLbl>
      </c:pivotFmt>
      <c:pivotFmt>
        <c:idx val="7"/>
        <c:spPr>
          <a:solidFill>
            <a:schemeClr val="accent1"/>
          </a:solidFill>
          <a:ln>
            <a:noFill/>
          </a:ln>
          <a:effectLst>
            <a:outerShdw blurRad="254000" sx="102000" sy="102000" algn="ctr" rotWithShape="0">
              <a:prstClr val="black">
                <a:alpha val="20000"/>
              </a:prstClr>
            </a:outerShdw>
          </a:effectLst>
        </c:spPr>
        <c:dLbl>
          <c:idx val="0"/>
          <c:layout>
            <c:manualLayout>
              <c:x val="4.7182148355534949E-2"/>
              <c:y val="-1.121494996984327E-2"/>
            </c:manualLayout>
          </c:layout>
          <c:dLblPos val="bestFit"/>
          <c:showLegendKey val="1"/>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1"/>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dLbl>
          <c:idx val="0"/>
          <c:layout>
            <c:manualLayout>
              <c:x val="-1.572738278517832E-2"/>
              <c:y val="2.8037374924608161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1"/>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c:spPr>
        <c:dLbl>
          <c:idx val="0"/>
          <c:layout>
            <c:manualLayout>
              <c:x val="-4.4036671798499294E-2"/>
              <c:y val="5.6074749849216274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1"/>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254000" sx="102000" sy="102000" algn="ctr" rotWithShape="0">
              <a:prstClr val="black">
                <a:alpha val="20000"/>
              </a:prstClr>
            </a:outerShdw>
          </a:effectLst>
        </c:spPr>
        <c:dLbl>
          <c:idx val="0"/>
          <c:layout>
            <c:manualLayout>
              <c:x val="-0.11166441777476607"/>
              <c:y val="5.6074749849216315E-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1"/>
          <c:showVal val="0"/>
          <c:showCatName val="1"/>
          <c:showSerName val="0"/>
          <c:showPercent val="1"/>
          <c:showBubbleSize val="0"/>
          <c:extLst>
            <c:ext xmlns:c15="http://schemas.microsoft.com/office/drawing/2012/chart" uri="{CE6537A1-D6FC-4f65-9D91-7224C49458BB}">
              <c15:layout>
                <c:manualLayout>
                  <c:w val="0.11145835190898228"/>
                  <c:h val="0.16491583930654521"/>
                </c:manualLayout>
              </c15:layout>
            </c:ext>
          </c:extLst>
        </c:dLbl>
      </c:pivotFmt>
      <c:pivotFmt>
        <c:idx val="13"/>
        <c:spPr>
          <a:solidFill>
            <a:schemeClr val="accent1"/>
          </a:solidFill>
          <a:ln>
            <a:noFill/>
          </a:ln>
          <a:effectLst>
            <a:outerShdw blurRad="254000" sx="102000" sy="102000" algn="ctr" rotWithShape="0">
              <a:prstClr val="black">
                <a:alpha val="20000"/>
              </a:prstClr>
            </a:outerShdw>
          </a:effectLst>
        </c:spPr>
        <c:dLbl>
          <c:idx val="0"/>
          <c:layout>
            <c:manualLayout>
              <c:x val="4.7182148355534949E-2"/>
              <c:y val="-1.121494996984327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1"/>
          <c:showVal val="0"/>
          <c:showCatName val="1"/>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dLbl>
          <c:idx val="0"/>
          <c:layout>
            <c:manualLayout>
              <c:x val="-4.4029456436332721E-2"/>
              <c:y val="0.53463429571303589"/>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8"/>
        <c:spPr>
          <a:solidFill>
            <a:schemeClr val="accent1"/>
          </a:solidFill>
          <a:ln>
            <a:noFill/>
          </a:ln>
          <a:effectLst>
            <a:outerShdw blurRad="254000" sx="102000" sy="102000" algn="ctr" rotWithShape="0">
              <a:prstClr val="black">
                <a:alpha val="20000"/>
              </a:prstClr>
            </a:outerShdw>
          </a:effectLst>
        </c:spPr>
        <c:dLbl>
          <c:idx val="0"/>
          <c:layout>
            <c:manualLayout>
              <c:x val="1.7456857473196162E-2"/>
              <c:y val="1.081758530183727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dLbl>
          <c:idx val="0"/>
          <c:layout>
            <c:manualLayout>
              <c:x val="0.27297779458873478"/>
              <c:y val="7.3097112860892393E-4"/>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'Sales Analysis Dashboard'!$E$5</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94A-470F-8633-2C0FE010355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94A-470F-8633-2C0FE0103553}"/>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F94A-470F-8633-2C0FE0103553}"/>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F94A-470F-8633-2C0FE0103553}"/>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F94A-470F-8633-2C0FE0103553}"/>
              </c:ext>
            </c:extLst>
          </c:dPt>
          <c:dLbls>
            <c:dLbl>
              <c:idx val="1"/>
              <c:layout>
                <c:manualLayout>
                  <c:x val="1.7456857473196162E-2"/>
                  <c:y val="1.08175853018372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94A-470F-8633-2C0FE0103553}"/>
                </c:ext>
              </c:extLst>
            </c:dLbl>
            <c:dLbl>
              <c:idx val="2"/>
              <c:layout>
                <c:manualLayout>
                  <c:x val="-4.4029456436332721E-2"/>
                  <c:y val="0.53463429571303589"/>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94A-470F-8633-2C0FE0103553}"/>
                </c:ext>
              </c:extLst>
            </c:dLbl>
            <c:dLbl>
              <c:idx val="3"/>
              <c:layout>
                <c:manualLayout>
                  <c:x val="0.27297779458873478"/>
                  <c:y val="7.3097112860892393E-4"/>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F94A-470F-8633-2C0FE0103553}"/>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'Sales Analysis Dashboard'!$D$6:$D$11</c:f>
              <c:strCache>
                <c:ptCount val="5"/>
                <c:pt idx="0">
                  <c:v>Rice</c:v>
                </c:pt>
                <c:pt idx="1">
                  <c:v>Milk</c:v>
                </c:pt>
                <c:pt idx="2">
                  <c:v>Apple</c:v>
                </c:pt>
                <c:pt idx="3">
                  <c:v>Cookies</c:v>
                </c:pt>
                <c:pt idx="4">
                  <c:v>Chips</c:v>
                </c:pt>
              </c:strCache>
            </c:strRef>
          </c:cat>
          <c:val>
            <c:numRef>
              <c:f>'Sales Analysis Dashboard'!$E$6:$E$11</c:f>
              <c:numCache>
                <c:formatCode>General</c:formatCode>
                <c:ptCount val="5"/>
                <c:pt idx="0">
                  <c:v>46000</c:v>
                </c:pt>
                <c:pt idx="1">
                  <c:v>6720</c:v>
                </c:pt>
                <c:pt idx="2">
                  <c:v>3900</c:v>
                </c:pt>
                <c:pt idx="3">
                  <c:v>1600</c:v>
                </c:pt>
                <c:pt idx="4">
                  <c:v>500</c:v>
                </c:pt>
              </c:numCache>
            </c:numRef>
          </c:val>
          <c:extLst>
            <c:ext xmlns:c16="http://schemas.microsoft.com/office/drawing/2014/chart" uri="{C3380CC4-5D6E-409C-BE32-E72D297353CC}">
              <c16:uniqueId val="{00000000-42F6-4CFD-B7B3-82FC205C0E99}"/>
            </c:ext>
          </c:extLst>
        </c:ser>
        <c:dLbls>
          <c:dLblPos val="bestFit"/>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2704852669075228"/>
          <c:y val="0.42612335958005249"/>
          <c:w val="0.33333307337007911"/>
          <c:h val="0.549472878390201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[Blinkit_Data_Analysis_Project (1).xlsx]Sales Analysis Dashboard!PivotTable2</c:name>
    <c:fmtId val="20"/>
  </c:pivotSource>
  <c:chart>
    <c:title>
      <c:tx>
        <c:rich>
          <a:bodyPr rot="0" spcFirstLastPara="1" vertOverflow="ellipsis" vert="horz" wrap="square" anchor="ctr" anchorCtr="1"/>
          <a:lstStyle/>
          <a:p>
            <a:pPr>
              <a:defRPr sz="1600" b="1" i="0" u="sng" strike="noStrike" kern="1200" baseline="0">
                <a:solidFill>
                  <a:schemeClr val="tx1">
                    <a:lumMod val="65000"/>
                    <a:lumOff val="35000"/>
                  </a:schemeClr>
                </a:solidFill>
                <a:latin typeface="+mn-lt"/>
                <a:ea typeface="+mn-ea"/>
                <a:cs typeface="+mn-cs"/>
              </a:defRPr>
            </a:pPr>
            <a:r>
              <a:rPr lang="en-US" u="sng" baseline="0">
                <a:solidFill>
                  <a:schemeClr val="tx1"/>
                </a:solidFill>
              </a:rPr>
              <a:t>Top Customers by Sales Revenue</a:t>
            </a:r>
            <a:endParaRPr lang="en-US" u="sng">
              <a:solidFill>
                <a:schemeClr val="tx1"/>
              </a:solidFill>
            </a:endParaRPr>
          </a:p>
        </c:rich>
      </c:tx>
      <c:layout>
        <c:manualLayout>
          <c:xMode val="edge"/>
          <c:yMode val="edge"/>
          <c:x val="0.18683746942514748"/>
          <c:y val="0.18811898869697563"/>
        </c:manualLayout>
      </c:layout>
      <c:overlay val="0"/>
      <c:spPr>
        <a:noFill/>
        <a:ln>
          <a:noFill/>
        </a:ln>
        <a:effectLst/>
      </c:spPr>
      <c:txPr>
        <a:bodyPr rot="0" spcFirstLastPara="1" vertOverflow="ellipsis" vert="horz" wrap="square" anchor="ctr" anchorCtr="1"/>
        <a:lstStyle/>
        <a:p>
          <a:pPr>
            <a:defRPr sz="1600" b="1" i="0" u="sng"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Analysis Dashboard'!$B$5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Analysis Dashboard'!$A$6:$A$11</c:f>
              <c:strCache>
                <c:ptCount val="5"/>
                <c:pt idx="0">
                  <c:v>Harsh Agarwal</c:v>
                </c:pt>
                <c:pt idx="1">
                  <c:v>Arjun Singh</c:v>
                </c:pt>
                <c:pt idx="2">
                  <c:v>Anjali Desai</c:v>
                </c:pt>
                <c:pt idx="3">
                  <c:v>Priya Jain</c:v>
                </c:pt>
                <c:pt idx="4">
                  <c:v>Raj Patel</c:v>
                </c:pt>
              </c:strCache>
            </c:strRef>
          </c:cat>
          <c:val>
            <c:numRef>
              <c:f>'Sales Analysis Dashboard'!$B$6:$B$11</c:f>
              <c:numCache>
                <c:formatCode>General</c:formatCode>
                <c:ptCount val="5"/>
                <c:pt idx="0">
                  <c:v>46070</c:v>
                </c:pt>
                <c:pt idx="1">
                  <c:v>4620</c:v>
                </c:pt>
                <c:pt idx="2">
                  <c:v>4075</c:v>
                </c:pt>
                <c:pt idx="3">
                  <c:v>2100</c:v>
                </c:pt>
                <c:pt idx="4">
                  <c:v>1855</c:v>
                </c:pt>
              </c:numCache>
            </c:numRef>
          </c:val>
          <c:extLst>
            <c:ext xmlns:c16="http://schemas.microsoft.com/office/drawing/2014/chart" uri="{C3380CC4-5D6E-409C-BE32-E72D297353CC}">
              <c16:uniqueId val="{00000000-B13B-42E2-BD8B-48AA00004307}"/>
            </c:ext>
          </c:extLst>
        </c:ser>
        <c:dLbls>
          <c:dLblPos val="outEnd"/>
          <c:showLegendKey val="0"/>
          <c:showVal val="1"/>
          <c:showCatName val="0"/>
          <c:showSerName val="0"/>
          <c:showPercent val="0"/>
          <c:showBubbleSize val="0"/>
        </c:dLbls>
        <c:gapWidth val="100"/>
        <c:overlap val="-24"/>
        <c:axId val="242806911"/>
        <c:axId val="242807327"/>
      </c:barChart>
      <c:catAx>
        <c:axId val="24280691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2807327"/>
        <c:crosses val="autoZero"/>
        <c:auto val="1"/>
        <c:lblAlgn val="ctr"/>
        <c:lblOffset val="100"/>
        <c:noMultiLvlLbl val="0"/>
      </c:catAx>
      <c:valAx>
        <c:axId val="2428073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2806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[Blinkit_Data_Analysis_Project (1).xlsx]Sales Analysis Dashboard!PivotTable5</c:name>
    <c:fmtId val="0"/>
  </c:pivotSource>
  <c:chart>
    <c:title>
      <c:tx>
        <c:rich>
          <a:bodyPr rot="0" spcFirstLastPara="1" vertOverflow="ellipsis" vert="horz" wrap="square" anchor="ctr" anchorCtr="1"/>
          <a:lstStyle/>
          <a:p>
            <a:pPr>
              <a:defRPr sz="1600" b="1" i="0" u="sng"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u="sng"/>
              <a:t>Profit</a:t>
            </a:r>
            <a:r>
              <a:rPr lang="en-US" u="sng" baseline="0"/>
              <a:t> Contribution by Product</a:t>
            </a:r>
            <a:endParaRPr lang="en-US" u="sng"/>
          </a:p>
        </c:rich>
      </c:tx>
      <c:layout>
        <c:manualLayout>
          <c:xMode val="edge"/>
          <c:yMode val="edge"/>
          <c:x val="0.15889337941359893"/>
          <c:y val="0.14482876121193039"/>
        </c:manualLayout>
      </c:layout>
      <c:overlay val="0"/>
      <c:spPr>
        <a:noFill/>
        <a:ln>
          <a:noFill/>
        </a:ln>
        <a:effectLst/>
      </c:spPr>
      <c:txPr>
        <a:bodyPr rot="0" spcFirstLastPara="1" vertOverflow="ellipsis" vert="horz" wrap="square" anchor="ctr" anchorCtr="1"/>
        <a:lstStyle/>
        <a:p>
          <a:pPr>
            <a:defRPr sz="1600" b="1" i="0" u="sng"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effectLst>
                    <a:outerShdw blurRad="50800" dist="50800" dir="5400000" algn="ctr" rotWithShape="0">
                      <a:schemeClr val="tx1"/>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Analysis Dashboard'!$H$5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Analysis Dashboard'!$G$6:$G$11</c:f>
              <c:strCache>
                <c:ptCount val="5"/>
                <c:pt idx="0">
                  <c:v>Rice</c:v>
                </c:pt>
                <c:pt idx="1">
                  <c:v>Milk</c:v>
                </c:pt>
                <c:pt idx="2">
                  <c:v>Cookies</c:v>
                </c:pt>
                <c:pt idx="3">
                  <c:v>Apple</c:v>
                </c:pt>
                <c:pt idx="4">
                  <c:v>Chips</c:v>
                </c:pt>
              </c:strCache>
            </c:strRef>
          </c:cat>
          <c:val>
            <c:numRef>
              <c:f>'Sales Analysis Dashboard'!$H$6:$H$11</c:f>
              <c:numCache>
                <c:formatCode>General</c:formatCode>
                <c:ptCount val="5"/>
                <c:pt idx="0">
                  <c:v>2300</c:v>
                </c:pt>
                <c:pt idx="1">
                  <c:v>960</c:v>
                </c:pt>
                <c:pt idx="2">
                  <c:v>400</c:v>
                </c:pt>
                <c:pt idx="3">
                  <c:v>300</c:v>
                </c:pt>
                <c:pt idx="4">
                  <c:v>100</c:v>
                </c:pt>
              </c:numCache>
            </c:numRef>
          </c:val>
          <c:extLst>
            <c:ext xmlns:c16="http://schemas.microsoft.com/office/drawing/2014/chart" uri="{C3380CC4-5D6E-409C-BE32-E72D297353CC}">
              <c16:uniqueId val="{00000000-3DA6-4A47-B5A6-5509422DF8F7}"/>
            </c:ext>
          </c:extLst>
        </c:ser>
        <c:dLbls>
          <c:dLblPos val="outEnd"/>
          <c:showLegendKey val="0"/>
          <c:showVal val="1"/>
          <c:showCatName val="0"/>
          <c:showSerName val="0"/>
          <c:showPercent val="0"/>
          <c:showBubbleSize val="0"/>
        </c:dLbls>
        <c:gapWidth val="115"/>
        <c:overlap val="-20"/>
        <c:axId val="627808880"/>
        <c:axId val="627813456"/>
      </c:barChart>
      <c:catAx>
        <c:axId val="62780888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7813456"/>
        <c:crosses val="autoZero"/>
        <c:auto val="1"/>
        <c:lblAlgn val="ctr"/>
        <c:lblOffset val="100"/>
        <c:noMultiLvlLbl val="0"/>
      </c:catAx>
      <c:valAx>
        <c:axId val="62781345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7808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9</xdr:col>
      <xdr:colOff>314325</xdr:colOff>
      <xdr:row>7</xdr:row>
      <xdr:rowOff>28575</xdr:rowOff>
    </xdr:from>
    <xdr:ext cx="184731" cy="264560"/>
    <xdr:sp macro="" textlink="">
      <xdr:nvSpPr>
        <xdr:cNvPr id="2" name="TextBox 1"/>
        <xdr:cNvSpPr txBox="1"/>
      </xdr:nvSpPr>
      <xdr:spPr>
        <a:xfrm>
          <a:off x="8143875" y="1905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5</xdr:col>
      <xdr:colOff>348442</xdr:colOff>
      <xdr:row>12</xdr:row>
      <xdr:rowOff>10583</xdr:rowOff>
    </xdr:from>
    <xdr:to>
      <xdr:col>8</xdr:col>
      <xdr:colOff>464484</xdr:colOff>
      <xdr:row>24</xdr:row>
      <xdr:rowOff>10583</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12</xdr:row>
      <xdr:rowOff>11207</xdr:rowOff>
    </xdr:from>
    <xdr:to>
      <xdr:col>5</xdr:col>
      <xdr:colOff>10583</xdr:colOff>
      <xdr:row>23</xdr:row>
      <xdr:rowOff>179917</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716555</xdr:colOff>
      <xdr:row>12</xdr:row>
      <xdr:rowOff>32995</xdr:rowOff>
    </xdr:from>
    <xdr:to>
      <xdr:col>12</xdr:col>
      <xdr:colOff>78443</xdr:colOff>
      <xdr:row>24</xdr:row>
      <xdr:rowOff>7596</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0</xdr:row>
      <xdr:rowOff>413374</xdr:rowOff>
    </xdr:from>
    <xdr:to>
      <xdr:col>11</xdr:col>
      <xdr:colOff>728383</xdr:colOff>
      <xdr:row>1</xdr:row>
      <xdr:rowOff>637491</xdr:rowOff>
    </xdr:to>
    <mc:AlternateContent xmlns:mc="http://schemas.openxmlformats.org/markup-compatibility/2006" xmlns:a14="http://schemas.microsoft.com/office/drawing/2010/main">
      <mc:Choice Requires="a14">
        <xdr:graphicFrame macro="">
          <xdr:nvGraphicFramePr>
            <xdr:cNvPr id="6" name="City 1"/>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0" y="413374"/>
              <a:ext cx="12987618" cy="6387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523875</xdr:colOff>
      <xdr:row>4</xdr:row>
      <xdr:rowOff>38100</xdr:rowOff>
    </xdr:from>
    <xdr:to>
      <xdr:col>4</xdr:col>
      <xdr:colOff>104775</xdr:colOff>
      <xdr:row>8</xdr:row>
      <xdr:rowOff>161925</xdr:rowOff>
    </xdr:to>
    <xdr:sp macro="" textlink="">
      <xdr:nvSpPr>
        <xdr:cNvPr id="5" name="Rounded Rectangle 4"/>
        <xdr:cNvSpPr/>
      </xdr:nvSpPr>
      <xdr:spPr>
        <a:xfrm>
          <a:off x="523875" y="800100"/>
          <a:ext cx="2019300" cy="895350"/>
        </a:xfrm>
        <a:prstGeom prst="roundRect">
          <a:avLst/>
        </a:prstGeom>
        <a:solidFill>
          <a:schemeClr val="bg2">
            <a:lumMod val="25000"/>
          </a:schemeClr>
        </a:solidFill>
        <a:ln>
          <a:solidFill>
            <a:schemeClr val="tx2">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2000" b="0" cap="none" spc="0">
              <a:ln w="0"/>
              <a:solidFill>
                <a:schemeClr val="tx1"/>
              </a:solidFill>
              <a:effectLst>
                <a:outerShdw blurRad="38100" dist="19050" dir="2700000" algn="tl" rotWithShape="0">
                  <a:schemeClr val="dk1">
                    <a:alpha val="40000"/>
                  </a:schemeClr>
                </a:outerShdw>
              </a:effectLst>
            </a:rPr>
            <a:t> </a:t>
          </a:r>
          <a:r>
            <a:rPr lang="en-US" sz="2200" b="0" cap="none" spc="0">
              <a:ln w="0"/>
              <a:solidFill>
                <a:schemeClr val="bg1"/>
              </a:solidFill>
              <a:effectLst>
                <a:outerShdw blurRad="38100" dist="19050" dir="2700000" algn="tl" rotWithShape="0">
                  <a:schemeClr val="dk1">
                    <a:alpha val="40000"/>
                  </a:schemeClr>
                </a:outerShdw>
              </a:effectLst>
            </a:rPr>
            <a:t>₹295,185</a:t>
          </a:r>
        </a:p>
        <a:p>
          <a:pPr algn="ctr"/>
          <a:r>
            <a:rPr lang="en-US" sz="1100" b="1" cap="none" spc="0">
              <a:ln w="0"/>
              <a:solidFill>
                <a:schemeClr val="bg1"/>
              </a:solidFill>
              <a:effectLst>
                <a:outerShdw blurRad="38100" dist="19050" dir="2700000" algn="tl" rotWithShape="0">
                  <a:schemeClr val="dk1">
                    <a:alpha val="40000"/>
                  </a:schemeClr>
                </a:outerShdw>
              </a:effectLst>
            </a:rPr>
            <a:t>Total</a:t>
          </a:r>
          <a:r>
            <a:rPr lang="en-US" sz="1100" b="1" cap="none" spc="0" baseline="0">
              <a:ln w="0"/>
              <a:solidFill>
                <a:schemeClr val="bg1"/>
              </a:solidFill>
              <a:effectLst>
                <a:outerShdw blurRad="38100" dist="19050" dir="2700000" algn="tl" rotWithShape="0">
                  <a:schemeClr val="dk1">
                    <a:alpha val="40000"/>
                  </a:schemeClr>
                </a:outerShdw>
              </a:effectLst>
            </a:rPr>
            <a:t> Sales</a:t>
          </a:r>
          <a:endParaRPr lang="en-US" sz="1100" b="1" cap="none" spc="0">
            <a:ln w="0"/>
            <a:solidFill>
              <a:schemeClr val="bg1"/>
            </a:solidFill>
            <a:effectLst>
              <a:outerShdw blurRad="38100" dist="19050" dir="2700000" algn="tl" rotWithShape="0">
                <a:schemeClr val="dk1">
                  <a:alpha val="40000"/>
                </a:schemeClr>
              </a:outerShdw>
            </a:effectLst>
          </a:endParaRPr>
        </a:p>
      </xdr:txBody>
    </xdr:sp>
    <xdr:clientData/>
  </xdr:twoCellAnchor>
  <xdr:twoCellAnchor>
    <xdr:from>
      <xdr:col>4</xdr:col>
      <xdr:colOff>304800</xdr:colOff>
      <xdr:row>4</xdr:row>
      <xdr:rowOff>57150</xdr:rowOff>
    </xdr:from>
    <xdr:to>
      <xdr:col>7</xdr:col>
      <xdr:colOff>447675</xdr:colOff>
      <xdr:row>8</xdr:row>
      <xdr:rowOff>161925</xdr:rowOff>
    </xdr:to>
    <xdr:sp macro="" textlink="">
      <xdr:nvSpPr>
        <xdr:cNvPr id="6" name="Rounded Rectangle 5"/>
        <xdr:cNvSpPr/>
      </xdr:nvSpPr>
      <xdr:spPr>
        <a:xfrm>
          <a:off x="2743200" y="819150"/>
          <a:ext cx="1971675" cy="876300"/>
        </a:xfrm>
        <a:prstGeom prst="roundRect">
          <a:avLst/>
        </a:prstGeom>
        <a:solidFill>
          <a:schemeClr val="bg2">
            <a:lumMod val="25000"/>
          </a:schemeClr>
        </a:solidFill>
        <a:ln>
          <a:solidFill>
            <a:schemeClr val="tx2">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ctr"/>
          <a:r>
            <a:rPr lang="en-US" sz="2200" b="0" cap="none" spc="0">
              <a:ln w="0"/>
              <a:solidFill>
                <a:schemeClr val="tx1"/>
              </a:solidFill>
              <a:effectLst>
                <a:outerShdw blurRad="38100" dist="19050" dir="2700000" algn="tl" rotWithShape="0">
                  <a:schemeClr val="dk1">
                    <a:alpha val="40000"/>
                  </a:schemeClr>
                </a:outerShdw>
              </a:effectLst>
              <a:latin typeface="+mn-lt"/>
              <a:ea typeface="+mn-ea"/>
              <a:cs typeface="+mn-cs"/>
            </a:rPr>
            <a:t> </a:t>
          </a:r>
          <a:r>
            <a:rPr lang="en-US" sz="2200" b="0" cap="none" spc="0">
              <a:ln w="0"/>
              <a:solidFill>
                <a:schemeClr val="bg1"/>
              </a:solidFill>
              <a:effectLst>
                <a:outerShdw blurRad="38100" dist="19050" dir="2700000" algn="tl" rotWithShape="0">
                  <a:schemeClr val="dk1">
                    <a:alpha val="40000"/>
                  </a:schemeClr>
                </a:outerShdw>
              </a:effectLst>
              <a:latin typeface="+mn-lt"/>
              <a:ea typeface="+mn-ea"/>
              <a:cs typeface="+mn-cs"/>
            </a:rPr>
            <a:t>1773</a:t>
          </a:r>
        </a:p>
        <a:p>
          <a:pPr marL="0" indent="0" algn="ctr"/>
          <a:r>
            <a:rPr lang="en-US" sz="1100" b="0" cap="none" spc="0">
              <a:ln w="0"/>
              <a:solidFill>
                <a:schemeClr val="bg1"/>
              </a:solidFill>
              <a:effectLst>
                <a:outerShdw blurRad="38100" dist="19050" dir="2700000" algn="tl" rotWithShape="0">
                  <a:schemeClr val="dk1">
                    <a:alpha val="40000"/>
                  </a:schemeClr>
                </a:outerShdw>
              </a:effectLst>
              <a:latin typeface="+mn-lt"/>
              <a:ea typeface="+mn-ea"/>
              <a:cs typeface="+mn-cs"/>
            </a:rPr>
            <a:t>Total Sales Quantity</a:t>
          </a:r>
        </a:p>
      </xdr:txBody>
    </xdr:sp>
    <xdr:clientData/>
  </xdr:twoCellAnchor>
  <xdr:twoCellAnchor>
    <xdr:from>
      <xdr:col>11</xdr:col>
      <xdr:colOff>323850</xdr:colOff>
      <xdr:row>4</xdr:row>
      <xdr:rowOff>28575</xdr:rowOff>
    </xdr:from>
    <xdr:to>
      <xdr:col>14</xdr:col>
      <xdr:colOff>466725</xdr:colOff>
      <xdr:row>8</xdr:row>
      <xdr:rowOff>133350</xdr:rowOff>
    </xdr:to>
    <xdr:sp macro="" textlink="">
      <xdr:nvSpPr>
        <xdr:cNvPr id="7" name="Rounded Rectangle 6"/>
        <xdr:cNvSpPr/>
      </xdr:nvSpPr>
      <xdr:spPr>
        <a:xfrm>
          <a:off x="7029450" y="790575"/>
          <a:ext cx="1971675" cy="876300"/>
        </a:xfrm>
        <a:prstGeom prst="roundRect">
          <a:avLst/>
        </a:prstGeom>
        <a:solidFill>
          <a:schemeClr val="bg2">
            <a:lumMod val="25000"/>
          </a:schemeClr>
        </a:solidFill>
        <a:ln>
          <a:solidFill>
            <a:schemeClr val="tx2">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ctr"/>
          <a:r>
            <a:rPr lang="en-US" sz="2200" b="0" cap="none" spc="0">
              <a:ln w="0"/>
              <a:solidFill>
                <a:schemeClr val="bg1"/>
              </a:solidFill>
              <a:effectLst>
                <a:outerShdw blurRad="38100" dist="19050" dir="2700000" algn="tl" rotWithShape="0">
                  <a:schemeClr val="dk1">
                    <a:alpha val="40000"/>
                  </a:schemeClr>
                </a:outerShdw>
              </a:effectLst>
              <a:latin typeface="+mn-lt"/>
              <a:ea typeface="+mn-ea"/>
              <a:cs typeface="+mn-cs"/>
            </a:rPr>
            <a:t> 200</a:t>
          </a:r>
        </a:p>
        <a:p>
          <a:pPr marL="0" indent="0" algn="ctr"/>
          <a:r>
            <a:rPr lang="en-US" sz="1100" b="0" cap="none" spc="0">
              <a:ln w="0"/>
              <a:solidFill>
                <a:schemeClr val="bg1"/>
              </a:solidFill>
              <a:effectLst>
                <a:outerShdw blurRad="38100" dist="19050" dir="2700000" algn="tl" rotWithShape="0">
                  <a:schemeClr val="dk1">
                    <a:alpha val="40000"/>
                  </a:schemeClr>
                </a:outerShdw>
              </a:effectLst>
              <a:latin typeface="+mn-lt"/>
              <a:ea typeface="+mn-ea"/>
              <a:cs typeface="+mn-cs"/>
            </a:rPr>
            <a:t>Total Customers</a:t>
          </a:r>
        </a:p>
      </xdr:txBody>
    </xdr:sp>
    <xdr:clientData/>
  </xdr:twoCellAnchor>
  <xdr:twoCellAnchor>
    <xdr:from>
      <xdr:col>7</xdr:col>
      <xdr:colOff>590550</xdr:colOff>
      <xdr:row>4</xdr:row>
      <xdr:rowOff>47625</xdr:rowOff>
    </xdr:from>
    <xdr:to>
      <xdr:col>11</xdr:col>
      <xdr:colOff>123825</xdr:colOff>
      <xdr:row>8</xdr:row>
      <xdr:rowOff>152400</xdr:rowOff>
    </xdr:to>
    <xdr:sp macro="" textlink="">
      <xdr:nvSpPr>
        <xdr:cNvPr id="8" name="Rounded Rectangle 7"/>
        <xdr:cNvSpPr/>
      </xdr:nvSpPr>
      <xdr:spPr>
        <a:xfrm>
          <a:off x="4857750" y="809625"/>
          <a:ext cx="1971675" cy="876300"/>
        </a:xfrm>
        <a:prstGeom prst="roundRect">
          <a:avLst/>
        </a:prstGeom>
        <a:solidFill>
          <a:schemeClr val="bg2">
            <a:lumMod val="25000"/>
          </a:schemeClr>
        </a:solidFill>
        <a:ln>
          <a:solidFill>
            <a:schemeClr val="tx2">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ctr"/>
          <a:r>
            <a:rPr lang="en-US" sz="2200" b="0" cap="none" spc="0">
              <a:ln w="0"/>
              <a:solidFill>
                <a:schemeClr val="tx1"/>
              </a:solidFill>
              <a:effectLst>
                <a:outerShdw blurRad="38100" dist="19050" dir="2700000" algn="tl" rotWithShape="0">
                  <a:schemeClr val="dk1">
                    <a:alpha val="40000"/>
                  </a:schemeClr>
                </a:outerShdw>
              </a:effectLst>
              <a:latin typeface="+mn-lt"/>
              <a:ea typeface="+mn-ea"/>
              <a:cs typeface="+mn-cs"/>
            </a:rPr>
            <a:t> </a:t>
          </a:r>
          <a:r>
            <a:rPr lang="en-US" sz="2200" b="0" cap="none" spc="0">
              <a:ln w="0"/>
              <a:solidFill>
                <a:schemeClr val="bg1"/>
              </a:solidFill>
              <a:effectLst>
                <a:outerShdw blurRad="38100" dist="19050" dir="2700000" algn="tl" rotWithShape="0">
                  <a:schemeClr val="dk1">
                    <a:alpha val="40000"/>
                  </a:schemeClr>
                </a:outerShdw>
              </a:effectLst>
              <a:latin typeface="+mn-lt"/>
              <a:ea typeface="+mn-ea"/>
              <a:cs typeface="+mn-cs"/>
            </a:rPr>
            <a:t>₹20,785</a:t>
          </a:r>
        </a:p>
        <a:p>
          <a:pPr marL="0" indent="0" algn="ctr"/>
          <a:r>
            <a:rPr lang="en-US" sz="1100" b="0" cap="none" spc="0">
              <a:ln w="0"/>
              <a:solidFill>
                <a:schemeClr val="bg1"/>
              </a:solidFill>
              <a:effectLst>
                <a:outerShdw blurRad="38100" dist="19050" dir="2700000" algn="tl" rotWithShape="0">
                  <a:schemeClr val="dk1">
                    <a:alpha val="40000"/>
                  </a:schemeClr>
                </a:outerShdw>
              </a:effectLst>
              <a:latin typeface="+mn-lt"/>
              <a:ea typeface="+mn-ea"/>
              <a:cs typeface="+mn-cs"/>
            </a:rPr>
            <a:t>  Total Profit</a:t>
          </a:r>
        </a:p>
      </xdr:txBody>
    </xdr:sp>
    <xdr:clientData/>
  </xdr:twoCellAnchor>
  <xdr:twoCellAnchor>
    <xdr:from>
      <xdr:col>15</xdr:col>
      <xdr:colOff>57150</xdr:colOff>
      <xdr:row>4</xdr:row>
      <xdr:rowOff>19050</xdr:rowOff>
    </xdr:from>
    <xdr:to>
      <xdr:col>18</xdr:col>
      <xdr:colOff>200025</xdr:colOff>
      <xdr:row>8</xdr:row>
      <xdr:rowOff>123825</xdr:rowOff>
    </xdr:to>
    <xdr:sp macro="" textlink="">
      <xdr:nvSpPr>
        <xdr:cNvPr id="9" name="Rounded Rectangle 8"/>
        <xdr:cNvSpPr/>
      </xdr:nvSpPr>
      <xdr:spPr>
        <a:xfrm>
          <a:off x="9201150" y="781050"/>
          <a:ext cx="1971675" cy="876300"/>
        </a:xfrm>
        <a:prstGeom prst="roundRect">
          <a:avLst/>
        </a:prstGeom>
        <a:solidFill>
          <a:schemeClr val="bg2">
            <a:lumMod val="25000"/>
          </a:schemeClr>
        </a:solidFill>
        <a:ln>
          <a:solidFill>
            <a:schemeClr val="tx2">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ctr"/>
          <a:r>
            <a:rPr lang="en-US" sz="2200" b="0" cap="none" spc="0">
              <a:ln w="0"/>
              <a:solidFill>
                <a:schemeClr val="bg1"/>
              </a:solidFill>
              <a:effectLst>
                <a:outerShdw blurRad="38100" dist="19050" dir="2700000" algn="tl" rotWithShape="0">
                  <a:schemeClr val="dk1">
                    <a:alpha val="40000"/>
                  </a:schemeClr>
                </a:outerShdw>
              </a:effectLst>
              <a:latin typeface="+mn-lt"/>
              <a:ea typeface="+mn-ea"/>
              <a:cs typeface="+mn-cs"/>
            </a:rPr>
            <a:t> 8</a:t>
          </a:r>
        </a:p>
        <a:p>
          <a:pPr marL="0" indent="0" algn="ctr"/>
          <a:r>
            <a:rPr lang="en-US" sz="1100" b="0" cap="none" spc="0">
              <a:ln w="0"/>
              <a:solidFill>
                <a:schemeClr val="bg1"/>
              </a:solidFill>
              <a:effectLst>
                <a:outerShdw blurRad="38100" dist="19050" dir="2700000" algn="tl" rotWithShape="0">
                  <a:schemeClr val="dk1">
                    <a:alpha val="40000"/>
                  </a:schemeClr>
                </a:outerShdw>
              </a:effectLst>
              <a:latin typeface="+mn-lt"/>
              <a:ea typeface="+mn-ea"/>
              <a:cs typeface="+mn-cs"/>
            </a:rPr>
            <a:t>Total Products</a:t>
          </a:r>
        </a:p>
      </xdr:txBody>
    </xdr:sp>
    <xdr:clientData/>
  </xdr:twoCellAnchor>
  <xdr:twoCellAnchor editAs="oneCell">
    <xdr:from>
      <xdr:col>1</xdr:col>
      <xdr:colOff>361952</xdr:colOff>
      <xdr:row>10</xdr:row>
      <xdr:rowOff>2</xdr:rowOff>
    </xdr:from>
    <xdr:to>
      <xdr:col>2</xdr:col>
      <xdr:colOff>66675</xdr:colOff>
      <xdr:row>11</xdr:row>
      <xdr:rowOff>219075</xdr:rowOff>
    </xdr:to>
    <xdr:pic>
      <xdr:nvPicPr>
        <xdr:cNvPr id="2" name="Picture 1"/>
        <xdr:cNvPicPr>
          <a:picLocks noChangeAspect="1"/>
        </xdr:cNvPicPr>
      </xdr:nvPicPr>
      <xdr:blipFill>
        <a:blip xmlns:r="http://schemas.openxmlformats.org/officeDocument/2006/relationships" r:embed="rId1"/>
        <a:stretch>
          <a:fillRect/>
        </a:stretch>
      </xdr:blipFill>
      <xdr:spPr>
        <a:xfrm>
          <a:off x="971552" y="2124077"/>
          <a:ext cx="314323" cy="31432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9</xdr:col>
      <xdr:colOff>314325</xdr:colOff>
      <xdr:row>7</xdr:row>
      <xdr:rowOff>28575</xdr:rowOff>
    </xdr:from>
    <xdr:ext cx="184731" cy="264560"/>
    <xdr:sp macro="" textlink="">
      <xdr:nvSpPr>
        <xdr:cNvPr id="2" name="TextBox 1"/>
        <xdr:cNvSpPr txBox="1"/>
      </xdr:nvSpPr>
      <xdr:spPr>
        <a:xfrm>
          <a:off x="8572500" y="1362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6</xdr:col>
      <xdr:colOff>1059</xdr:colOff>
      <xdr:row>12</xdr:row>
      <xdr:rowOff>10583</xdr:rowOff>
    </xdr:from>
    <xdr:to>
      <xdr:col>8</xdr:col>
      <xdr:colOff>10583</xdr:colOff>
      <xdr:row>24</xdr:row>
      <xdr:rowOff>10583</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12</xdr:row>
      <xdr:rowOff>11207</xdr:rowOff>
    </xdr:from>
    <xdr:to>
      <xdr:col>5</xdr:col>
      <xdr:colOff>10583</xdr:colOff>
      <xdr:row>23</xdr:row>
      <xdr:rowOff>179917</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10584</xdr:colOff>
      <xdr:row>12</xdr:row>
      <xdr:rowOff>10582</xdr:rowOff>
    </xdr:from>
    <xdr:to>
      <xdr:col>12</xdr:col>
      <xdr:colOff>444500</xdr:colOff>
      <xdr:row>23</xdr:row>
      <xdr:rowOff>175683</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0</xdr:row>
      <xdr:rowOff>413374</xdr:rowOff>
    </xdr:from>
    <xdr:to>
      <xdr:col>12</xdr:col>
      <xdr:colOff>317500</xdr:colOff>
      <xdr:row>2</xdr:row>
      <xdr:rowOff>2491</xdr:rowOff>
    </xdr:to>
    <mc:AlternateContent xmlns:mc="http://schemas.openxmlformats.org/markup-compatibility/2006" xmlns:a14="http://schemas.microsoft.com/office/drawing/2010/main">
      <mc:Choice Requires="a14">
        <xdr:graphicFrame macro="">
          <xdr:nvGraphicFramePr>
            <xdr:cNvPr id="4" name="City"/>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0" y="413374"/>
              <a:ext cx="12023725" cy="6336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blinkit%20data_sales%20project.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LL" refreshedDate="46172.2827869213" createdVersion="6" refreshedVersion="6" minRefreshableVersion="3" recordCount="200">
  <cacheSource type="worksheet">
    <worksheetSource ref="A1:O201" sheet="data" r:id="rId2"/>
  </cacheSource>
  <cacheFields count="15">
    <cacheField name="Order_ID" numFmtId="0">
      <sharedItems/>
    </cacheField>
    <cacheField name="Order_Date" numFmtId="14">
      <sharedItems containsSemiMixedTypes="0" containsNonDate="0" containsDate="1" containsString="0" minDate="2026-01-01T00:00:00" maxDate="2026-06-11T00:00:00"/>
    </cacheField>
    <cacheField name="Delivery_Date" numFmtId="14">
      <sharedItems containsSemiMixedTypes="0" containsNonDate="0" containsDate="1" containsString="0" minDate="2026-01-01T00:00:00" maxDate="2026-06-12T00:00:00"/>
    </cacheField>
    <cacheField name="Customer_Name" numFmtId="0">
      <sharedItems count="29">
        <s v="Rahul Sharma"/>
        <s v="Priya Jain"/>
        <s v="Amit Verma"/>
        <s v="Sneha Patil"/>
        <s v="Karan Mehta"/>
        <s v="Pooja Shah"/>
        <s v="Rohan Gupta"/>
        <s v="Neha Joshi"/>
        <s v="Arjun Singh"/>
        <s v="Simran Kaur"/>
        <s v="Vikas Rao"/>
        <s v="Anjali Desai"/>
        <s v="Sachin Yadav"/>
        <s v="Ritika Malhotra"/>
        <s v="Deepak Nair"/>
        <s v="Megha Kapoor"/>
        <s v="Harsh Agarwal"/>
        <s v="Tanvi Kulkarni"/>
        <s v="Nikhil Bansal"/>
        <s v="Kavya Iyer"/>
        <s v="Raj Patel"/>
        <s v="Pallavi Sharma"/>
        <s v="Manish Tiwari"/>
        <s v="Shreya Menon"/>
        <s v="Abhishek Roy"/>
        <s v=" Neha Joshi "/>
        <s v=" Neha Joshi"/>
        <s v=" Rahul Sharma"/>
        <s v=" Rahul Sharma "/>
      </sharedItems>
    </cacheField>
    <cacheField name="City" numFmtId="0">
      <sharedItems count="6">
        <s v="Pune"/>
        <s v="Mumbai"/>
        <s v="Bangalore"/>
        <s v="Delhi"/>
        <s v="Hyderabad"/>
        <s v="Chennai"/>
      </sharedItems>
    </cacheField>
    <cacheField name="Area" numFmtId="0">
      <sharedItems/>
    </cacheField>
    <cacheField name="Product_Category" numFmtId="0">
      <sharedItems count="8">
        <s v="Dairy"/>
        <s v="Snacks"/>
        <s v="Beverages"/>
        <s v="Personal Care"/>
        <s v="Grocery"/>
        <s v="Fruits"/>
        <s v="Vegetables"/>
        <s v="Frozen Food"/>
      </sharedItems>
    </cacheField>
    <cacheField name="Product_Name" numFmtId="0">
      <sharedItems count="8">
        <s v="Milk"/>
        <s v="Chips"/>
        <s v="Juice"/>
        <s v="Shampoo"/>
        <s v="Rice"/>
        <s v="Cookies"/>
        <s v="Apple"/>
        <s v="Nuggets"/>
      </sharedItems>
    </cacheField>
    <cacheField name="Quantity" numFmtId="0">
      <sharedItems containsString="0" containsBlank="1" containsNumber="1" containsInteger="1" minValue="1" maxValue="60"/>
    </cacheField>
    <cacheField name="Unit_Price" numFmtId="0">
      <sharedItems containsSemiMixedTypes="0" containsString="0" containsNumber="1" containsInteger="1" minValue="20" maxValue="950"/>
    </cacheField>
    <cacheField name="Acutal_value" numFmtId="0">
      <sharedItems containsSemiMixedTypes="0" containsString="0" containsNumber="1" containsInteger="1" minValue="0" maxValue="11400"/>
    </cacheField>
    <cacheField name="Payment_Mode" numFmtId="0">
      <sharedItems/>
    </cacheField>
    <cacheField name="product price" numFmtId="0">
      <sharedItems containsSemiMixedTypes="0" containsString="0" containsNumber="1" containsInteger="1" minValue="25" maxValue="1000"/>
    </cacheField>
    <cacheField name="Selling price" numFmtId="0">
      <sharedItems containsSemiMixedTypes="0" containsString="0" containsNumber="1" containsInteger="1" minValue="0" maxValue="12000" count="87">
        <n v="70"/>
        <n v="75"/>
        <n v="120"/>
        <n v="400"/>
        <n v="1000"/>
        <n v="200"/>
        <n v="390"/>
        <n v="140"/>
        <n v="460"/>
        <n v="105"/>
        <n v="100"/>
        <n v="240"/>
        <n v="2000"/>
        <n v="35"/>
        <n v="650"/>
        <n v="210"/>
        <n v="230"/>
        <n v="360"/>
        <n v="50"/>
        <n v="150"/>
        <n v="1440"/>
        <n v="480"/>
        <n v="175"/>
        <n v="280"/>
        <n v="800"/>
        <n v="3000"/>
        <n v="320"/>
        <n v="780"/>
        <n v="920"/>
        <n v="520"/>
        <n v="260"/>
        <n v="350"/>
        <n v="5000"/>
        <n v="1040"/>
        <n v="7000"/>
        <n v="840"/>
        <n v="225"/>
        <n v="1150"/>
        <n v="245"/>
        <n v="500"/>
        <n v="420"/>
        <n v="525"/>
        <n v="6000"/>
        <n v="625"/>
        <n v="1170"/>
        <n v="8000"/>
        <n v="960"/>
        <n v="250"/>
        <n v="1380"/>
        <n v="550"/>
        <n v="125"/>
        <n v="3600"/>
        <n v="630"/>
        <n v="750"/>
        <n v="1300"/>
        <n v="9000"/>
        <n v="1080"/>
        <n v="300"/>
        <n v="1610"/>
        <n v="875"/>
        <n v="1200"/>
        <n v="910"/>
        <n v="4000"/>
        <n v="4200"/>
        <n v="700"/>
        <n v="1430"/>
        <n v="10000"/>
        <n v="325"/>
        <n v="1840"/>
        <n v="385"/>
        <n v="1125"/>
        <n v="1400"/>
        <n v="315"/>
        <n v="4800"/>
        <n v="770"/>
        <n v="275"/>
        <n v="1250"/>
        <n v="1560"/>
        <n v="12000"/>
        <n v="1320"/>
        <n v="375"/>
        <n v="2070"/>
        <n v="1375"/>
        <n v="1600"/>
        <n v="5400"/>
        <n v="1500"/>
        <n v="0"/>
      </sharedItems>
    </cacheField>
    <cacheField name="Profit" numFmtId="0">
      <sharedItems containsSemiMixedTypes="0" containsString="0" containsNumber="1" containsInteger="1" minValue="0" maxValue="60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00">
  <r>
    <s v="B1001"/>
    <d v="2026-01-01T00:00:00"/>
    <d v="2026-01-01T00:00:00"/>
    <x v="0"/>
    <x v="0"/>
    <s v="Wakad"/>
    <x v="0"/>
    <x v="0"/>
    <n v="2"/>
    <n v="30"/>
    <n v="60"/>
    <s v="UPI"/>
    <n v="35"/>
    <x v="0"/>
    <n v="10"/>
  </r>
  <r>
    <s v="B1002"/>
    <d v="2026-01-01T00:00:00"/>
    <d v="2026-01-02T00:00:00"/>
    <x v="1"/>
    <x v="1"/>
    <s v="Andheri"/>
    <x v="1"/>
    <x v="1"/>
    <n v="3"/>
    <n v="20"/>
    <n v="60"/>
    <s v="Card"/>
    <n v="25"/>
    <x v="1"/>
    <n v="15"/>
  </r>
  <r>
    <s v="B1003"/>
    <d v="2026-01-02T00:00:00"/>
    <d v="2026-01-02T00:00:00"/>
    <x v="2"/>
    <x v="2"/>
    <s v="Whitefield"/>
    <x v="2"/>
    <x v="2"/>
    <n v="1"/>
    <n v="110"/>
    <n v="110"/>
    <s v="COD"/>
    <n v="120"/>
    <x v="2"/>
    <n v="10"/>
  </r>
  <r>
    <s v="B1004"/>
    <d v="2026-01-02T00:00:00"/>
    <d v="2026-01-03T00:00:00"/>
    <x v="3"/>
    <x v="0"/>
    <s v="Baner"/>
    <x v="3"/>
    <x v="3"/>
    <n v="2"/>
    <n v="180"/>
    <n v="360"/>
    <s v="UPI"/>
    <n v="200"/>
    <x v="3"/>
    <n v="40"/>
  </r>
  <r>
    <s v="B1005"/>
    <d v="2026-01-03T00:00:00"/>
    <d v="2026-01-03T00:00:00"/>
    <x v="4"/>
    <x v="3"/>
    <s v="Rohini"/>
    <x v="4"/>
    <x v="4"/>
    <n v="1"/>
    <n v="950"/>
    <n v="950"/>
    <s v="Wallet"/>
    <n v="1000"/>
    <x v="4"/>
    <n v="50"/>
  </r>
  <r>
    <s v="B1006"/>
    <d v="2026-01-03T00:00:00"/>
    <d v="2026-01-04T00:00:00"/>
    <x v="5"/>
    <x v="4"/>
    <s v="Gachibowli"/>
    <x v="0"/>
    <x v="0"/>
    <n v="2"/>
    <n v="30"/>
    <n v="60"/>
    <s v="Card"/>
    <n v="35"/>
    <x v="0"/>
    <n v="10"/>
  </r>
  <r>
    <s v="B1007"/>
    <d v="2026-01-04T00:00:00"/>
    <d v="2026-01-04T00:00:00"/>
    <x v="6"/>
    <x v="5"/>
    <s v="Velachery"/>
    <x v="1"/>
    <x v="5"/>
    <n v="5"/>
    <n v="30"/>
    <n v="150"/>
    <s v="UPI"/>
    <n v="40"/>
    <x v="5"/>
    <n v="50"/>
  </r>
  <r>
    <s v="B1008"/>
    <d v="2026-01-04T00:00:00"/>
    <d v="2026-01-05T00:00:00"/>
    <x v="7"/>
    <x v="0"/>
    <s v="Kothrud"/>
    <x v="5"/>
    <x v="6"/>
    <n v="3"/>
    <n v="120"/>
    <n v="360"/>
    <s v="COD"/>
    <n v="130"/>
    <x v="6"/>
    <n v="30"/>
  </r>
  <r>
    <s v="B1009"/>
    <d v="2026-01-05T00:00:00"/>
    <d v="2026-01-05T00:00:00"/>
    <x v="8"/>
    <x v="1"/>
    <s v="Powai"/>
    <x v="6"/>
    <x v="0"/>
    <n v="4"/>
    <n v="30"/>
    <n v="120"/>
    <s v="UPI"/>
    <n v="35"/>
    <x v="7"/>
    <n v="20"/>
  </r>
  <r>
    <s v="B1010"/>
    <d v="2026-01-05T00:00:00"/>
    <d v="2026-01-06T00:00:00"/>
    <x v="9"/>
    <x v="3"/>
    <s v="Dwarka"/>
    <x v="7"/>
    <x v="7"/>
    <n v="2"/>
    <n v="220"/>
    <n v="440"/>
    <s v="Card"/>
    <n v="230"/>
    <x v="8"/>
    <n v="20"/>
  </r>
  <r>
    <s v="B1011"/>
    <d v="2026-01-06T00:00:00"/>
    <d v="2026-01-06T00:00:00"/>
    <x v="0"/>
    <x v="0"/>
    <s v="Wakad"/>
    <x v="0"/>
    <x v="0"/>
    <n v="3"/>
    <n v="30"/>
    <n v="90"/>
    <s v="UPI"/>
    <n v="35"/>
    <x v="9"/>
    <n v="15"/>
  </r>
  <r>
    <s v="B1012"/>
    <d v="2026-01-06T00:00:00"/>
    <d v="2026-01-07T00:00:00"/>
    <x v="1"/>
    <x v="1"/>
    <s v="Andheri"/>
    <x v="1"/>
    <x v="1"/>
    <n v="4"/>
    <n v="20"/>
    <n v="80"/>
    <s v="Card"/>
    <n v="25"/>
    <x v="10"/>
    <n v="20"/>
  </r>
  <r>
    <s v="B1013"/>
    <d v="2026-01-07T00:00:00"/>
    <d v="2026-01-07T00:00:00"/>
    <x v="2"/>
    <x v="2"/>
    <s v="Whitefield"/>
    <x v="2"/>
    <x v="2"/>
    <n v="2"/>
    <n v="110"/>
    <n v="220"/>
    <s v="COD"/>
    <n v="120"/>
    <x v="11"/>
    <n v="20"/>
  </r>
  <r>
    <s v="B1014"/>
    <d v="2026-01-07T00:00:00"/>
    <d v="2026-01-08T00:00:00"/>
    <x v="3"/>
    <x v="0"/>
    <s v="Baner"/>
    <x v="3"/>
    <x v="3"/>
    <n v="1"/>
    <n v="180"/>
    <n v="180"/>
    <s v="UPI"/>
    <n v="200"/>
    <x v="5"/>
    <n v="20"/>
  </r>
  <r>
    <s v="B1015"/>
    <d v="2026-01-08T00:00:00"/>
    <d v="2026-01-08T00:00:00"/>
    <x v="4"/>
    <x v="3"/>
    <s v="Rohini"/>
    <x v="4"/>
    <x v="4"/>
    <n v="2"/>
    <n v="950"/>
    <n v="1900"/>
    <s v="Wallet"/>
    <n v="1000"/>
    <x v="12"/>
    <n v="100"/>
  </r>
  <r>
    <s v="B1016"/>
    <d v="2026-01-08T00:00:00"/>
    <d v="2026-01-09T00:00:00"/>
    <x v="5"/>
    <x v="4"/>
    <s v="Gachibowli"/>
    <x v="0"/>
    <x v="0"/>
    <n v="1"/>
    <n v="30"/>
    <n v="30"/>
    <s v="Card"/>
    <n v="35"/>
    <x v="13"/>
    <n v="5"/>
  </r>
  <r>
    <s v="B1017"/>
    <d v="2026-01-09T00:00:00"/>
    <d v="2026-01-09T00:00:00"/>
    <x v="6"/>
    <x v="5"/>
    <s v="Velachery"/>
    <x v="1"/>
    <x v="5"/>
    <n v="3"/>
    <n v="30"/>
    <n v="90"/>
    <s v="UPI"/>
    <n v="40"/>
    <x v="2"/>
    <n v="30"/>
  </r>
  <r>
    <s v="B1018"/>
    <d v="2026-01-09T00:00:00"/>
    <d v="2026-01-10T00:00:00"/>
    <x v="7"/>
    <x v="0"/>
    <s v="Kothrud"/>
    <x v="5"/>
    <x v="6"/>
    <n v="5"/>
    <n v="120"/>
    <n v="600"/>
    <s v="COD"/>
    <n v="130"/>
    <x v="14"/>
    <n v="50"/>
  </r>
  <r>
    <s v="B1019"/>
    <d v="2026-01-10T00:00:00"/>
    <d v="2026-01-10T00:00:00"/>
    <x v="8"/>
    <x v="1"/>
    <s v="Powai"/>
    <x v="6"/>
    <x v="0"/>
    <n v="6"/>
    <n v="30"/>
    <n v="180"/>
    <s v="UPI"/>
    <n v="35"/>
    <x v="15"/>
    <n v="30"/>
  </r>
  <r>
    <s v="B1020"/>
    <d v="2026-01-10T00:00:00"/>
    <d v="2026-01-11T00:00:00"/>
    <x v="9"/>
    <x v="3"/>
    <s v="Dwarka"/>
    <x v="7"/>
    <x v="7"/>
    <n v="1"/>
    <n v="220"/>
    <n v="220"/>
    <s v="Card"/>
    <n v="230"/>
    <x v="16"/>
    <n v="10"/>
  </r>
  <r>
    <s v="B1021"/>
    <d v="2026-01-11T00:00:00"/>
    <d v="2026-01-11T00:00:00"/>
    <x v="10"/>
    <x v="2"/>
    <s v="Indiranagar"/>
    <x v="2"/>
    <x v="0"/>
    <n v="2"/>
    <n v="30"/>
    <n v="60"/>
    <s v="Wallet"/>
    <n v="35"/>
    <x v="0"/>
    <n v="10"/>
  </r>
  <r>
    <s v="B1022"/>
    <d v="2026-01-11T00:00:00"/>
    <d v="2026-01-12T00:00:00"/>
    <x v="11"/>
    <x v="1"/>
    <s v="Bandra"/>
    <x v="0"/>
    <x v="0"/>
    <n v="1"/>
    <n v="30"/>
    <n v="30"/>
    <s v="UPI"/>
    <n v="35"/>
    <x v="13"/>
    <n v="5"/>
  </r>
  <r>
    <s v="B1023"/>
    <d v="2026-01-12T00:00:00"/>
    <d v="2026-01-12T00:00:00"/>
    <x v="12"/>
    <x v="0"/>
    <s v="Hinjewadi"/>
    <x v="4"/>
    <x v="2"/>
    <n v="3"/>
    <n v="110"/>
    <n v="330"/>
    <s v="COD"/>
    <n v="120"/>
    <x v="17"/>
    <n v="30"/>
  </r>
  <r>
    <s v="B1024"/>
    <d v="2026-01-12T00:00:00"/>
    <d v="2026-01-13T00:00:00"/>
    <x v="13"/>
    <x v="3"/>
    <s v="Saket"/>
    <x v="1"/>
    <x v="1"/>
    <n v="2"/>
    <n v="20"/>
    <n v="40"/>
    <s v="Card"/>
    <n v="25"/>
    <x v="18"/>
    <n v="10"/>
  </r>
  <r>
    <s v="B1025"/>
    <d v="2026-01-13T00:00:00"/>
    <d v="2026-01-13T00:00:00"/>
    <x v="14"/>
    <x v="5"/>
    <s v="Anna Nagar"/>
    <x v="3"/>
    <x v="1"/>
    <n v="6"/>
    <n v="20"/>
    <n v="120"/>
    <s v="UPI"/>
    <n v="25"/>
    <x v="19"/>
    <n v="30"/>
  </r>
  <r>
    <s v="B1026"/>
    <d v="2026-01-13T00:00:00"/>
    <d v="2026-01-14T00:00:00"/>
    <x v="15"/>
    <x v="4"/>
    <s v="Madhapur"/>
    <x v="5"/>
    <x v="2"/>
    <n v="12"/>
    <n v="110"/>
    <n v="1320"/>
    <s v="Wallet"/>
    <n v="120"/>
    <x v="20"/>
    <n v="120"/>
  </r>
  <r>
    <s v="B1027"/>
    <d v="2026-01-14T00:00:00"/>
    <d v="2026-01-14T00:00:00"/>
    <x v="16"/>
    <x v="1"/>
    <s v="Thane"/>
    <x v="4"/>
    <x v="0"/>
    <n v="2"/>
    <n v="30"/>
    <n v="60"/>
    <s v="UPI"/>
    <n v="35"/>
    <x v="0"/>
    <n v="10"/>
  </r>
  <r>
    <s v="B1028"/>
    <d v="2026-01-14T00:00:00"/>
    <d v="2026-01-15T00:00:00"/>
    <x v="17"/>
    <x v="0"/>
    <s v="Aundh"/>
    <x v="2"/>
    <x v="0"/>
    <n v="1"/>
    <n v="30"/>
    <n v="30"/>
    <s v="Card"/>
    <n v="35"/>
    <x v="13"/>
    <n v="5"/>
  </r>
  <r>
    <s v="B1029"/>
    <d v="2026-01-15T00:00:00"/>
    <d v="2026-01-15T00:00:00"/>
    <x v="18"/>
    <x v="3"/>
    <s v="Karol Bagh"/>
    <x v="0"/>
    <x v="2"/>
    <n v="4"/>
    <n v="110"/>
    <n v="440"/>
    <s v="COD"/>
    <n v="120"/>
    <x v="21"/>
    <n v="40"/>
  </r>
  <r>
    <s v="B1030"/>
    <d v="2026-01-15T00:00:00"/>
    <d v="2026-01-16T00:00:00"/>
    <x v="19"/>
    <x v="2"/>
    <s v="HSR Layout"/>
    <x v="7"/>
    <x v="0"/>
    <n v="3"/>
    <n v="30"/>
    <n v="90"/>
    <s v="UPI"/>
    <n v="35"/>
    <x v="9"/>
    <n v="15"/>
  </r>
  <r>
    <s v="B1031"/>
    <d v="2026-01-16T00:00:00"/>
    <d v="2026-01-16T00:00:00"/>
    <x v="20"/>
    <x v="1"/>
    <s v="Navi Mumbai"/>
    <x v="6"/>
    <x v="0"/>
    <n v="5"/>
    <n v="30"/>
    <n v="150"/>
    <s v="Wallet"/>
    <n v="35"/>
    <x v="22"/>
    <n v="25"/>
  </r>
  <r>
    <s v="B1032"/>
    <d v="2026-01-16T00:00:00"/>
    <d v="2026-01-17T00:00:00"/>
    <x v="21"/>
    <x v="0"/>
    <s v="Pimple Saudagar"/>
    <x v="1"/>
    <x v="0"/>
    <n v="8"/>
    <n v="30"/>
    <n v="240"/>
    <s v="UPI"/>
    <n v="35"/>
    <x v="23"/>
    <n v="40"/>
  </r>
  <r>
    <s v="B1033"/>
    <d v="2026-01-17T00:00:00"/>
    <d v="2026-01-17T00:00:00"/>
    <x v="22"/>
    <x v="3"/>
    <s v="Laxmi Nagar"/>
    <x v="3"/>
    <x v="0"/>
    <n v="2"/>
    <n v="30"/>
    <n v="60"/>
    <s v="Card"/>
    <n v="35"/>
    <x v="0"/>
    <n v="10"/>
  </r>
  <r>
    <s v="B1034"/>
    <d v="2026-01-17T00:00:00"/>
    <d v="2026-01-18T00:00:00"/>
    <x v="23"/>
    <x v="5"/>
    <s v="T Nagar"/>
    <x v="0"/>
    <x v="0"/>
    <n v="2"/>
    <n v="30"/>
    <n v="60"/>
    <s v="COD"/>
    <n v="35"/>
    <x v="0"/>
    <n v="10"/>
  </r>
  <r>
    <s v="B1035"/>
    <d v="2026-01-18T00:00:00"/>
    <d v="2026-01-18T00:00:00"/>
    <x v="24"/>
    <x v="4"/>
    <s v="Kukatpally"/>
    <x v="4"/>
    <x v="0"/>
    <n v="1"/>
    <n v="30"/>
    <n v="30"/>
    <s v="UPI"/>
    <n v="35"/>
    <x v="13"/>
    <n v="5"/>
  </r>
  <r>
    <s v="B1036"/>
    <d v="2026-01-18T00:00:00"/>
    <d v="2026-01-19T00:00:00"/>
    <x v="0"/>
    <x v="0"/>
    <s v="Wakad"/>
    <x v="0"/>
    <x v="0"/>
    <n v="2"/>
    <n v="30"/>
    <n v="60"/>
    <s v="UPI"/>
    <n v="35"/>
    <x v="0"/>
    <n v="10"/>
  </r>
  <r>
    <s v="B1037"/>
    <d v="2026-01-19T00:00:00"/>
    <d v="2026-01-19T00:00:00"/>
    <x v="1"/>
    <x v="1"/>
    <s v="Andheri"/>
    <x v="1"/>
    <x v="1"/>
    <n v="3"/>
    <n v="20"/>
    <n v="60"/>
    <s v="Card"/>
    <n v="25"/>
    <x v="1"/>
    <n v="15"/>
  </r>
  <r>
    <s v="B1038"/>
    <d v="2026-01-19T00:00:00"/>
    <d v="2026-01-20T00:00:00"/>
    <x v="2"/>
    <x v="2"/>
    <s v="Whitefield"/>
    <x v="2"/>
    <x v="2"/>
    <n v="1"/>
    <n v="110"/>
    <n v="110"/>
    <s v="COD"/>
    <n v="120"/>
    <x v="2"/>
    <n v="10"/>
  </r>
  <r>
    <s v="B1039"/>
    <d v="2026-01-20T00:00:00"/>
    <d v="2026-01-20T00:00:00"/>
    <x v="3"/>
    <x v="0"/>
    <s v="Baner"/>
    <x v="3"/>
    <x v="3"/>
    <n v="2"/>
    <n v="180"/>
    <n v="360"/>
    <s v="UPI"/>
    <n v="200"/>
    <x v="3"/>
    <n v="40"/>
  </r>
  <r>
    <s v="B1040"/>
    <d v="2026-01-20T00:00:00"/>
    <d v="2026-01-21T00:00:00"/>
    <x v="4"/>
    <x v="3"/>
    <s v="Rohini"/>
    <x v="4"/>
    <x v="4"/>
    <n v="1"/>
    <n v="950"/>
    <n v="950"/>
    <s v="Wallet"/>
    <n v="1000"/>
    <x v="4"/>
    <n v="50"/>
  </r>
  <r>
    <s v="B1041"/>
    <d v="2026-01-21T00:00:00"/>
    <d v="2026-01-21T00:00:00"/>
    <x v="5"/>
    <x v="4"/>
    <s v="Gachibowli"/>
    <x v="0"/>
    <x v="0"/>
    <n v="2"/>
    <n v="30"/>
    <n v="60"/>
    <s v="Card"/>
    <n v="35"/>
    <x v="0"/>
    <n v="10"/>
  </r>
  <r>
    <s v="B1042"/>
    <d v="2026-01-21T00:00:00"/>
    <d v="2026-01-22T00:00:00"/>
    <x v="6"/>
    <x v="5"/>
    <s v="Velachery"/>
    <x v="1"/>
    <x v="5"/>
    <n v="5"/>
    <n v="30"/>
    <n v="150"/>
    <s v="UPI"/>
    <n v="40"/>
    <x v="5"/>
    <n v="50"/>
  </r>
  <r>
    <s v="B1043"/>
    <d v="2026-01-22T00:00:00"/>
    <d v="2026-01-22T00:00:00"/>
    <x v="7"/>
    <x v="0"/>
    <s v="Kothrud"/>
    <x v="5"/>
    <x v="6"/>
    <n v="3"/>
    <n v="120"/>
    <n v="360"/>
    <s v="COD"/>
    <n v="130"/>
    <x v="6"/>
    <n v="30"/>
  </r>
  <r>
    <s v="B1044"/>
    <d v="2026-01-22T00:00:00"/>
    <d v="2026-01-23T00:00:00"/>
    <x v="8"/>
    <x v="1"/>
    <s v="Powai"/>
    <x v="6"/>
    <x v="0"/>
    <n v="4"/>
    <n v="30"/>
    <n v="120"/>
    <s v="UPI"/>
    <n v="35"/>
    <x v="7"/>
    <n v="20"/>
  </r>
  <r>
    <s v="B1045"/>
    <d v="2026-01-23T00:00:00"/>
    <d v="2026-01-23T00:00:00"/>
    <x v="9"/>
    <x v="3"/>
    <s v="Dwarka"/>
    <x v="7"/>
    <x v="7"/>
    <n v="2"/>
    <n v="220"/>
    <n v="440"/>
    <s v="Card"/>
    <n v="230"/>
    <x v="8"/>
    <n v="20"/>
  </r>
  <r>
    <s v="B1046"/>
    <d v="2026-01-23T00:00:00"/>
    <d v="2026-01-24T00:00:00"/>
    <x v="10"/>
    <x v="2"/>
    <s v="Indiranagar"/>
    <x v="2"/>
    <x v="0"/>
    <n v="2"/>
    <n v="30"/>
    <n v="60"/>
    <s v="Wallet"/>
    <n v="35"/>
    <x v="0"/>
    <n v="10"/>
  </r>
  <r>
    <s v="B1047"/>
    <d v="2026-01-24T00:00:00"/>
    <d v="2026-01-24T00:00:00"/>
    <x v="11"/>
    <x v="1"/>
    <s v="Bandra"/>
    <x v="0"/>
    <x v="0"/>
    <n v="1"/>
    <n v="30"/>
    <n v="30"/>
    <s v="UPI"/>
    <n v="35"/>
    <x v="13"/>
    <n v="5"/>
  </r>
  <r>
    <s v="B1048"/>
    <d v="2026-01-24T00:00:00"/>
    <d v="2026-01-25T00:00:00"/>
    <x v="12"/>
    <x v="0"/>
    <s v="Hinjewadi"/>
    <x v="4"/>
    <x v="2"/>
    <n v="3"/>
    <n v="110"/>
    <n v="330"/>
    <s v="COD"/>
    <n v="120"/>
    <x v="17"/>
    <n v="30"/>
  </r>
  <r>
    <s v="B1049"/>
    <d v="2026-01-25T00:00:00"/>
    <d v="2026-01-25T00:00:00"/>
    <x v="13"/>
    <x v="3"/>
    <s v="Saket"/>
    <x v="1"/>
    <x v="1"/>
    <n v="2"/>
    <n v="20"/>
    <n v="40"/>
    <s v="Card"/>
    <n v="25"/>
    <x v="18"/>
    <n v="10"/>
  </r>
  <r>
    <s v="B1050"/>
    <d v="2026-01-25T00:00:00"/>
    <d v="2026-01-26T00:00:00"/>
    <x v="14"/>
    <x v="5"/>
    <s v="Anna Nagar"/>
    <x v="3"/>
    <x v="1"/>
    <n v="6"/>
    <n v="20"/>
    <n v="120"/>
    <s v="UPI"/>
    <n v="25"/>
    <x v="19"/>
    <n v="30"/>
  </r>
  <r>
    <s v="B1051"/>
    <d v="2026-03-28T00:00:00"/>
    <d v="2026-03-28T00:00:00"/>
    <x v="0"/>
    <x v="0"/>
    <s v="Wakad"/>
    <x v="0"/>
    <x v="0"/>
    <n v="5"/>
    <n v="30"/>
    <n v="150"/>
    <s v="UPI"/>
    <n v="35"/>
    <x v="22"/>
    <n v="25"/>
  </r>
  <r>
    <s v="B1052"/>
    <d v="2026-03-28T00:00:00"/>
    <d v="2026-03-29T00:00:00"/>
    <x v="1"/>
    <x v="1"/>
    <s v="Andheri"/>
    <x v="1"/>
    <x v="1"/>
    <n v="7"/>
    <n v="20"/>
    <n v="140"/>
    <s v="Card"/>
    <n v="25"/>
    <x v="22"/>
    <n v="35"/>
  </r>
  <r>
    <s v="B1053"/>
    <d v="2026-03-29T00:00:00"/>
    <d v="2026-03-29T00:00:00"/>
    <x v="2"/>
    <x v="2"/>
    <s v="Whitefield"/>
    <x v="2"/>
    <x v="2"/>
    <n v="3"/>
    <n v="110"/>
    <n v="330"/>
    <s v="COD"/>
    <n v="120"/>
    <x v="17"/>
    <n v="30"/>
  </r>
  <r>
    <s v="B1054"/>
    <d v="2026-03-29T00:00:00"/>
    <d v="2026-03-30T00:00:00"/>
    <x v="3"/>
    <x v="0"/>
    <s v="Baner"/>
    <x v="3"/>
    <x v="3"/>
    <n v="4"/>
    <n v="180"/>
    <n v="720"/>
    <s v="UPI"/>
    <n v="200"/>
    <x v="24"/>
    <n v="80"/>
  </r>
  <r>
    <s v="B1055"/>
    <d v="2026-03-30T00:00:00"/>
    <d v="2026-03-30T00:00:00"/>
    <x v="4"/>
    <x v="3"/>
    <s v="Rohini"/>
    <x v="4"/>
    <x v="4"/>
    <n v="3"/>
    <n v="950"/>
    <n v="2850"/>
    <s v="Wallet"/>
    <n v="1000"/>
    <x v="25"/>
    <n v="150"/>
  </r>
  <r>
    <s v="B1056"/>
    <d v="2026-03-30T00:00:00"/>
    <d v="2026-03-31T00:00:00"/>
    <x v="5"/>
    <x v="4"/>
    <s v="Gachibowli"/>
    <x v="0"/>
    <x v="6"/>
    <n v="5"/>
    <n v="120"/>
    <n v="600"/>
    <s v="Card"/>
    <n v="130"/>
    <x v="14"/>
    <n v="50"/>
  </r>
  <r>
    <s v="B1057"/>
    <d v="2026-03-31T00:00:00"/>
    <d v="2026-03-31T00:00:00"/>
    <x v="6"/>
    <x v="5"/>
    <s v="Velachery"/>
    <x v="1"/>
    <x v="5"/>
    <n v="8"/>
    <n v="30"/>
    <n v="240"/>
    <s v="UPI"/>
    <n v="40"/>
    <x v="26"/>
    <n v="80"/>
  </r>
  <r>
    <s v="B1058"/>
    <d v="2026-03-31T00:00:00"/>
    <d v="2026-04-01T00:00:00"/>
    <x v="25"/>
    <x v="0"/>
    <s v="Kothrud"/>
    <x v="5"/>
    <x v="6"/>
    <n v="6"/>
    <n v="120"/>
    <n v="720"/>
    <s v="COD"/>
    <n v="130"/>
    <x v="27"/>
    <n v="60"/>
  </r>
  <r>
    <s v="B1059"/>
    <d v="2026-04-01T00:00:00"/>
    <d v="2026-04-01T00:00:00"/>
    <x v="8"/>
    <x v="1"/>
    <s v="Powai"/>
    <x v="6"/>
    <x v="0"/>
    <n v="8"/>
    <n v="30"/>
    <n v="240"/>
    <s v="UPI"/>
    <n v="35"/>
    <x v="23"/>
    <n v="40"/>
  </r>
  <r>
    <s v="B1060"/>
    <d v="2026-04-01T00:00:00"/>
    <d v="2026-04-02T00:00:00"/>
    <x v="9"/>
    <x v="3"/>
    <s v="Dwarka"/>
    <x v="7"/>
    <x v="7"/>
    <n v="4"/>
    <n v="220"/>
    <n v="880"/>
    <s v="Card"/>
    <n v="230"/>
    <x v="28"/>
    <n v="40"/>
  </r>
  <r>
    <s v="B1061"/>
    <d v="2026-04-02T00:00:00"/>
    <d v="2026-04-02T00:00:00"/>
    <x v="0"/>
    <x v="0"/>
    <s v="Wakad"/>
    <x v="0"/>
    <x v="0"/>
    <n v="2"/>
    <n v="30"/>
    <n v="60"/>
    <s v="UPI"/>
    <n v="35"/>
    <x v="0"/>
    <n v="10"/>
  </r>
  <r>
    <s v="B1062"/>
    <d v="2026-04-02T00:00:00"/>
    <d v="2026-04-03T00:00:00"/>
    <x v="1"/>
    <x v="1"/>
    <s v="Andheri"/>
    <x v="1"/>
    <x v="1"/>
    <n v="3"/>
    <n v="20"/>
    <n v="60"/>
    <s v="Card"/>
    <n v="25"/>
    <x v="1"/>
    <n v="15"/>
  </r>
  <r>
    <s v="B1063"/>
    <d v="2026-04-03T00:00:00"/>
    <d v="2026-04-03T00:00:00"/>
    <x v="2"/>
    <x v="2"/>
    <s v="Whitefield"/>
    <x v="2"/>
    <x v="6"/>
    <n v="4"/>
    <n v="120"/>
    <n v="480"/>
    <s v="COD"/>
    <n v="130"/>
    <x v="29"/>
    <n v="40"/>
  </r>
  <r>
    <s v="B1064"/>
    <d v="2026-04-03T00:00:00"/>
    <d v="2026-04-04T00:00:00"/>
    <x v="3"/>
    <x v="0"/>
    <s v="Baner"/>
    <x v="3"/>
    <x v="0"/>
    <n v="6"/>
    <n v="30"/>
    <n v="180"/>
    <s v="UPI"/>
    <n v="35"/>
    <x v="15"/>
    <n v="30"/>
  </r>
  <r>
    <s v="B1065"/>
    <d v="2026-04-04T00:00:00"/>
    <d v="2026-04-04T00:00:00"/>
    <x v="4"/>
    <x v="3"/>
    <s v="Rohini"/>
    <x v="4"/>
    <x v="4"/>
    <n v="1"/>
    <n v="950"/>
    <n v="950"/>
    <s v="Wallet"/>
    <n v="1000"/>
    <x v="4"/>
    <n v="50"/>
  </r>
  <r>
    <s v="B1066"/>
    <d v="2026-04-04T00:00:00"/>
    <d v="2026-04-05T00:00:00"/>
    <x v="5"/>
    <x v="4"/>
    <s v="Gachibowli"/>
    <x v="0"/>
    <x v="6"/>
    <n v="2"/>
    <n v="120"/>
    <n v="240"/>
    <s v="Card"/>
    <n v="130"/>
    <x v="30"/>
    <n v="20"/>
  </r>
  <r>
    <s v="B1067"/>
    <d v="2026-04-05T00:00:00"/>
    <d v="2026-04-05T00:00:00"/>
    <x v="6"/>
    <x v="5"/>
    <s v="Velachery"/>
    <x v="1"/>
    <x v="5"/>
    <n v="5"/>
    <n v="30"/>
    <n v="150"/>
    <s v="UPI"/>
    <n v="40"/>
    <x v="5"/>
    <n v="50"/>
  </r>
  <r>
    <s v="B1068"/>
    <d v="2026-04-05T00:00:00"/>
    <d v="2026-04-06T00:00:00"/>
    <x v="7"/>
    <x v="0"/>
    <s v="Kothrud"/>
    <x v="5"/>
    <x v="2"/>
    <n v="12"/>
    <n v="110"/>
    <n v="1320"/>
    <s v="COD"/>
    <n v="120"/>
    <x v="20"/>
    <n v="120"/>
  </r>
  <r>
    <s v="B1069"/>
    <d v="2026-04-06T00:00:00"/>
    <d v="2026-04-06T00:00:00"/>
    <x v="8"/>
    <x v="1"/>
    <s v="Powai"/>
    <x v="6"/>
    <x v="0"/>
    <n v="10"/>
    <n v="30"/>
    <n v="300"/>
    <s v="UPI"/>
    <n v="35"/>
    <x v="31"/>
    <n v="50"/>
  </r>
  <r>
    <s v="B1070"/>
    <d v="2026-04-06T00:00:00"/>
    <d v="2026-04-07T00:00:00"/>
    <x v="9"/>
    <x v="3"/>
    <s v="Dwarka"/>
    <x v="7"/>
    <x v="4"/>
    <n v="3"/>
    <n v="950"/>
    <n v="2850"/>
    <s v="Card"/>
    <n v="1000"/>
    <x v="25"/>
    <n v="150"/>
  </r>
  <r>
    <s v="B1071"/>
    <d v="2026-04-07T00:00:00"/>
    <d v="2026-04-07T00:00:00"/>
    <x v="10"/>
    <x v="2"/>
    <s v="Indiranagar"/>
    <x v="2"/>
    <x v="4"/>
    <n v="5"/>
    <n v="950"/>
    <n v="4750"/>
    <s v="Wallet"/>
    <n v="1000"/>
    <x v="32"/>
    <n v="250"/>
  </r>
  <r>
    <s v="B1072"/>
    <d v="2026-04-07T00:00:00"/>
    <d v="2026-04-08T00:00:00"/>
    <x v="11"/>
    <x v="1"/>
    <s v="Bandra"/>
    <x v="0"/>
    <x v="0"/>
    <n v="3"/>
    <n v="30"/>
    <n v="90"/>
    <s v="UPI"/>
    <n v="35"/>
    <x v="9"/>
    <n v="15"/>
  </r>
  <r>
    <s v="B1073"/>
    <d v="2026-04-08T00:00:00"/>
    <d v="2026-04-08T00:00:00"/>
    <x v="12"/>
    <x v="0"/>
    <s v="Hinjewadi"/>
    <x v="4"/>
    <x v="1"/>
    <n v="7"/>
    <n v="20"/>
    <n v="140"/>
    <s v="COD"/>
    <n v="25"/>
    <x v="22"/>
    <n v="35"/>
  </r>
  <r>
    <s v="B1074"/>
    <d v="2026-04-08T00:00:00"/>
    <d v="2026-04-09T00:00:00"/>
    <x v="13"/>
    <x v="3"/>
    <s v="Saket"/>
    <x v="1"/>
    <x v="0"/>
    <n v="4"/>
    <n v="30"/>
    <n v="120"/>
    <s v="Card"/>
    <n v="35"/>
    <x v="7"/>
    <n v="20"/>
  </r>
  <r>
    <s v="B1075"/>
    <d v="2026-04-09T00:00:00"/>
    <d v="2026-04-09T00:00:00"/>
    <x v="14"/>
    <x v="5"/>
    <s v="Anna Nagar"/>
    <x v="3"/>
    <x v="4"/>
    <n v="5"/>
    <n v="950"/>
    <n v="4750"/>
    <s v="UPI"/>
    <n v="1000"/>
    <x v="32"/>
    <n v="250"/>
  </r>
  <r>
    <s v="B1076"/>
    <d v="2026-04-09T00:00:00"/>
    <d v="2026-04-10T00:00:00"/>
    <x v="15"/>
    <x v="4"/>
    <s v="Madhapur"/>
    <x v="5"/>
    <x v="6"/>
    <n v="8"/>
    <n v="120"/>
    <n v="960"/>
    <s v="Wallet"/>
    <n v="130"/>
    <x v="33"/>
    <n v="80"/>
  </r>
  <r>
    <s v="B1077"/>
    <d v="2026-04-10T00:00:00"/>
    <d v="2026-04-10T00:00:00"/>
    <x v="16"/>
    <x v="1"/>
    <s v="Thane"/>
    <x v="4"/>
    <x v="4"/>
    <n v="7"/>
    <n v="950"/>
    <n v="6650"/>
    <s v="UPI"/>
    <n v="1000"/>
    <x v="34"/>
    <n v="350"/>
  </r>
  <r>
    <s v="B1078"/>
    <d v="2026-04-10T00:00:00"/>
    <d v="2026-04-11T00:00:00"/>
    <x v="17"/>
    <x v="0"/>
    <s v="Aundh"/>
    <x v="2"/>
    <x v="2"/>
    <n v="7"/>
    <n v="110"/>
    <n v="770"/>
    <s v="Card"/>
    <n v="120"/>
    <x v="35"/>
    <n v="70"/>
  </r>
  <r>
    <s v="B1079"/>
    <d v="2026-04-11T00:00:00"/>
    <d v="2026-04-11T00:00:00"/>
    <x v="18"/>
    <x v="3"/>
    <s v="Karol Bagh"/>
    <x v="0"/>
    <x v="1"/>
    <n v="9"/>
    <n v="20"/>
    <n v="180"/>
    <s v="COD"/>
    <n v="25"/>
    <x v="36"/>
    <n v="45"/>
  </r>
  <r>
    <s v="B1080"/>
    <d v="2026-04-11T00:00:00"/>
    <d v="2026-04-12T00:00:00"/>
    <x v="19"/>
    <x v="2"/>
    <s v="HSR Layout"/>
    <x v="7"/>
    <x v="7"/>
    <n v="5"/>
    <n v="220"/>
    <n v="1100"/>
    <s v="UPI"/>
    <n v="230"/>
    <x v="37"/>
    <n v="50"/>
  </r>
  <r>
    <s v="B1081"/>
    <d v="2026-04-12T00:00:00"/>
    <d v="2026-04-12T00:00:00"/>
    <x v="20"/>
    <x v="1"/>
    <s v="Navi Mumbai"/>
    <x v="6"/>
    <x v="0"/>
    <n v="7"/>
    <n v="30"/>
    <n v="210"/>
    <s v="Wallet"/>
    <n v="35"/>
    <x v="38"/>
    <n v="35"/>
  </r>
  <r>
    <s v="B1082"/>
    <d v="2026-04-12T00:00:00"/>
    <d v="2026-04-13T00:00:00"/>
    <x v="21"/>
    <x v="0"/>
    <s v="Pimple Saudagar"/>
    <x v="1"/>
    <x v="1"/>
    <n v="20"/>
    <n v="20"/>
    <n v="400"/>
    <s v="UPI"/>
    <n v="25"/>
    <x v="39"/>
    <n v="100"/>
  </r>
  <r>
    <s v="B1083"/>
    <d v="2026-04-13T00:00:00"/>
    <d v="2026-04-13T00:00:00"/>
    <x v="22"/>
    <x v="3"/>
    <s v="Laxmi Nagar"/>
    <x v="3"/>
    <x v="3"/>
    <n v="4"/>
    <n v="180"/>
    <n v="720"/>
    <s v="Card"/>
    <n v="200"/>
    <x v="24"/>
    <n v="80"/>
  </r>
  <r>
    <s v="B1084"/>
    <d v="2026-04-13T00:00:00"/>
    <d v="2026-04-14T00:00:00"/>
    <x v="23"/>
    <x v="5"/>
    <s v="T Nagar"/>
    <x v="0"/>
    <x v="0"/>
    <n v="6"/>
    <n v="30"/>
    <n v="180"/>
    <s v="COD"/>
    <n v="35"/>
    <x v="15"/>
    <n v="30"/>
  </r>
  <r>
    <s v="B1085"/>
    <d v="2026-04-14T00:00:00"/>
    <d v="2026-04-14T00:00:00"/>
    <x v="24"/>
    <x v="4"/>
    <s v="Kukatpally"/>
    <x v="4"/>
    <x v="1"/>
    <n v="4"/>
    <n v="20"/>
    <n v="80"/>
    <s v="UPI"/>
    <n v="25"/>
    <x v="10"/>
    <n v="20"/>
  </r>
  <r>
    <s v="B1086"/>
    <d v="2026-04-14T00:00:00"/>
    <d v="2026-04-15T00:00:00"/>
    <x v="0"/>
    <x v="0"/>
    <s v="Wakad"/>
    <x v="0"/>
    <x v="6"/>
    <n v="5"/>
    <n v="120"/>
    <n v="600"/>
    <s v="UPI"/>
    <n v="130"/>
    <x v="14"/>
    <n v="50"/>
  </r>
  <r>
    <s v="B1087"/>
    <d v="2026-04-15T00:00:00"/>
    <d v="2026-04-15T00:00:00"/>
    <x v="1"/>
    <x v="1"/>
    <s v="Andheri"/>
    <x v="1"/>
    <x v="5"/>
    <n v="6"/>
    <n v="30"/>
    <n v="180"/>
    <s v="Card"/>
    <n v="40"/>
    <x v="11"/>
    <n v="60"/>
  </r>
  <r>
    <s v="B1088"/>
    <d v="2026-04-15T00:00:00"/>
    <d v="2026-04-16T00:00:00"/>
    <x v="2"/>
    <x v="2"/>
    <s v="Whitefield"/>
    <x v="2"/>
    <x v="6"/>
    <n v="3"/>
    <n v="120"/>
    <n v="360"/>
    <s v="COD"/>
    <n v="130"/>
    <x v="6"/>
    <n v="30"/>
  </r>
  <r>
    <s v="B1089"/>
    <d v="2026-04-16T00:00:00"/>
    <d v="2026-04-16T00:00:00"/>
    <x v="3"/>
    <x v="0"/>
    <s v="Baner"/>
    <x v="3"/>
    <x v="0"/>
    <n v="12"/>
    <n v="30"/>
    <n v="360"/>
    <s v="UPI"/>
    <n v="35"/>
    <x v="40"/>
    <n v="60"/>
  </r>
  <r>
    <s v="B1090"/>
    <d v="2026-04-16T00:00:00"/>
    <d v="2026-04-17T00:00:00"/>
    <x v="4"/>
    <x v="3"/>
    <s v="Rohini"/>
    <x v="4"/>
    <x v="4"/>
    <n v="2"/>
    <n v="950"/>
    <n v="1900"/>
    <s v="Wallet"/>
    <n v="1000"/>
    <x v="12"/>
    <n v="100"/>
  </r>
  <r>
    <s v="B1091"/>
    <d v="2026-04-17T00:00:00"/>
    <d v="2026-04-17T00:00:00"/>
    <x v="5"/>
    <x v="4"/>
    <s v="Gachibowli"/>
    <x v="0"/>
    <x v="0"/>
    <n v="4"/>
    <n v="30"/>
    <n v="120"/>
    <s v="Card"/>
    <n v="35"/>
    <x v="7"/>
    <n v="20"/>
  </r>
  <r>
    <s v="B1092"/>
    <d v="2026-04-17T00:00:00"/>
    <d v="2026-04-18T00:00:00"/>
    <x v="6"/>
    <x v="5"/>
    <s v="Velachery"/>
    <x v="1"/>
    <x v="0"/>
    <n v="6"/>
    <n v="30"/>
    <n v="180"/>
    <s v="UPI"/>
    <n v="35"/>
    <x v="15"/>
    <n v="30"/>
  </r>
  <r>
    <s v="B1093"/>
    <d v="2026-04-18T00:00:00"/>
    <d v="2026-04-18T00:00:00"/>
    <x v="26"/>
    <x v="0"/>
    <s v="Kothrud"/>
    <x v="5"/>
    <x v="2"/>
    <n v="25"/>
    <n v="110"/>
    <n v="2750"/>
    <s v="COD"/>
    <n v="120"/>
    <x v="25"/>
    <n v="250"/>
  </r>
  <r>
    <s v="B1094"/>
    <d v="2026-04-18T00:00:00"/>
    <d v="2026-04-19T00:00:00"/>
    <x v="8"/>
    <x v="1"/>
    <s v="Powai"/>
    <x v="6"/>
    <x v="0"/>
    <n v="15"/>
    <n v="30"/>
    <n v="450"/>
    <s v="UPI"/>
    <n v="35"/>
    <x v="41"/>
    <n v="75"/>
  </r>
  <r>
    <s v="B1095"/>
    <d v="2026-04-19T00:00:00"/>
    <d v="2026-04-19T00:00:00"/>
    <x v="9"/>
    <x v="3"/>
    <s v="Dwarka"/>
    <x v="7"/>
    <x v="4"/>
    <n v="5"/>
    <n v="950"/>
    <n v="4750"/>
    <s v="Card"/>
    <n v="1000"/>
    <x v="32"/>
    <n v="250"/>
  </r>
  <r>
    <s v="B1096"/>
    <d v="2026-04-19T00:00:00"/>
    <d v="2026-04-20T00:00:00"/>
    <x v="10"/>
    <x v="2"/>
    <s v="Indiranagar"/>
    <x v="2"/>
    <x v="4"/>
    <n v="6"/>
    <n v="950"/>
    <n v="5700"/>
    <s v="Wallet"/>
    <n v="1000"/>
    <x v="42"/>
    <n v="300"/>
  </r>
  <r>
    <s v="B1097"/>
    <d v="2026-04-20T00:00:00"/>
    <d v="2026-04-20T00:00:00"/>
    <x v="11"/>
    <x v="1"/>
    <s v="Bandra"/>
    <x v="0"/>
    <x v="6"/>
    <n v="4"/>
    <n v="120"/>
    <n v="480"/>
    <s v="UPI"/>
    <n v="130"/>
    <x v="29"/>
    <n v="40"/>
  </r>
  <r>
    <s v="B1098"/>
    <d v="2026-04-20T00:00:00"/>
    <d v="2026-04-21T00:00:00"/>
    <x v="12"/>
    <x v="0"/>
    <s v="Hinjewadi"/>
    <x v="4"/>
    <x v="1"/>
    <n v="8"/>
    <n v="20"/>
    <n v="160"/>
    <s v="COD"/>
    <n v="25"/>
    <x v="5"/>
    <n v="40"/>
  </r>
  <r>
    <s v="B1099"/>
    <d v="2026-04-21T00:00:00"/>
    <d v="2026-04-21T00:00:00"/>
    <x v="13"/>
    <x v="3"/>
    <s v="Saket"/>
    <x v="1"/>
    <x v="1"/>
    <n v="25"/>
    <n v="20"/>
    <n v="500"/>
    <s v="Card"/>
    <n v="25"/>
    <x v="43"/>
    <n v="125"/>
  </r>
  <r>
    <s v="B1100"/>
    <d v="2026-04-21T00:00:00"/>
    <d v="2026-04-22T00:00:00"/>
    <x v="14"/>
    <x v="5"/>
    <s v="Anna Nagar"/>
    <x v="3"/>
    <x v="4"/>
    <n v="6"/>
    <n v="950"/>
    <n v="5700"/>
    <s v="UPI"/>
    <n v="1000"/>
    <x v="42"/>
    <n v="300"/>
  </r>
  <r>
    <s v="B1101"/>
    <d v="2026-04-22T00:00:00"/>
    <d v="2026-04-22T00:00:00"/>
    <x v="15"/>
    <x v="4"/>
    <s v="Madhapur"/>
    <x v="5"/>
    <x v="6"/>
    <n v="9"/>
    <n v="120"/>
    <n v="1080"/>
    <s v="Wallet"/>
    <n v="130"/>
    <x v="44"/>
    <n v="90"/>
  </r>
  <r>
    <s v="B1102"/>
    <d v="2026-04-22T00:00:00"/>
    <d v="2026-04-23T00:00:00"/>
    <x v="16"/>
    <x v="1"/>
    <s v="Thane"/>
    <x v="4"/>
    <x v="4"/>
    <n v="8"/>
    <n v="950"/>
    <n v="7600"/>
    <s v="UPI"/>
    <n v="1000"/>
    <x v="45"/>
    <n v="400"/>
  </r>
  <r>
    <s v="B1103"/>
    <d v="2026-04-23T00:00:00"/>
    <d v="2026-04-23T00:00:00"/>
    <x v="17"/>
    <x v="0"/>
    <s v="Aundh"/>
    <x v="2"/>
    <x v="2"/>
    <n v="8"/>
    <n v="110"/>
    <n v="880"/>
    <s v="Card"/>
    <n v="120"/>
    <x v="46"/>
    <n v="80"/>
  </r>
  <r>
    <s v="B1104"/>
    <d v="2026-04-23T00:00:00"/>
    <d v="2026-04-24T00:00:00"/>
    <x v="18"/>
    <x v="3"/>
    <s v="Karol Bagh"/>
    <x v="0"/>
    <x v="1"/>
    <n v="10"/>
    <n v="20"/>
    <n v="200"/>
    <s v="COD"/>
    <n v="25"/>
    <x v="47"/>
    <n v="50"/>
  </r>
  <r>
    <s v="B1105"/>
    <d v="2026-04-24T00:00:00"/>
    <d v="2026-04-24T00:00:00"/>
    <x v="19"/>
    <x v="2"/>
    <s v="HSR Layout"/>
    <x v="7"/>
    <x v="7"/>
    <n v="6"/>
    <n v="220"/>
    <n v="1320"/>
    <s v="UPI"/>
    <n v="230"/>
    <x v="48"/>
    <n v="60"/>
  </r>
  <r>
    <s v="B1106"/>
    <d v="2026-04-24T00:00:00"/>
    <d v="2026-04-25T00:00:00"/>
    <x v="20"/>
    <x v="1"/>
    <s v="Navi Mumbai"/>
    <x v="6"/>
    <x v="0"/>
    <n v="8"/>
    <n v="30"/>
    <n v="240"/>
    <s v="Wallet"/>
    <n v="35"/>
    <x v="23"/>
    <n v="40"/>
  </r>
  <r>
    <s v="B1107"/>
    <d v="2026-04-25T00:00:00"/>
    <d v="2026-04-25T00:00:00"/>
    <x v="21"/>
    <x v="0"/>
    <s v="Pimple Saudagar"/>
    <x v="1"/>
    <x v="1"/>
    <n v="22"/>
    <n v="20"/>
    <n v="440"/>
    <s v="UPI"/>
    <n v="25"/>
    <x v="49"/>
    <n v="110"/>
  </r>
  <r>
    <s v="B1108"/>
    <d v="2026-04-25T00:00:00"/>
    <d v="2026-04-26T00:00:00"/>
    <x v="22"/>
    <x v="3"/>
    <s v="Laxmi Nagar"/>
    <x v="3"/>
    <x v="3"/>
    <n v="5"/>
    <n v="180"/>
    <n v="900"/>
    <s v="Card"/>
    <n v="200"/>
    <x v="4"/>
    <n v="100"/>
  </r>
  <r>
    <s v="B1109"/>
    <d v="2026-04-26T00:00:00"/>
    <d v="2026-04-26T00:00:00"/>
    <x v="23"/>
    <x v="5"/>
    <s v="T Nagar"/>
    <x v="0"/>
    <x v="0"/>
    <n v="7"/>
    <n v="30"/>
    <n v="210"/>
    <s v="COD"/>
    <n v="35"/>
    <x v="38"/>
    <n v="35"/>
  </r>
  <r>
    <s v="B1110"/>
    <d v="2026-04-26T00:00:00"/>
    <d v="2026-04-27T00:00:00"/>
    <x v="24"/>
    <x v="4"/>
    <s v="Kukatpally"/>
    <x v="4"/>
    <x v="1"/>
    <n v="5"/>
    <n v="20"/>
    <n v="100"/>
    <s v="UPI"/>
    <n v="25"/>
    <x v="50"/>
    <n v="25"/>
  </r>
  <r>
    <s v="B1111"/>
    <d v="2026-04-27T00:00:00"/>
    <d v="2026-04-27T00:00:00"/>
    <x v="0"/>
    <x v="0"/>
    <s v="Wakad"/>
    <x v="0"/>
    <x v="6"/>
    <n v="6"/>
    <n v="120"/>
    <n v="720"/>
    <s v="UPI"/>
    <n v="130"/>
    <x v="27"/>
    <n v="60"/>
  </r>
  <r>
    <s v="B1112"/>
    <d v="2026-04-27T00:00:00"/>
    <d v="2026-04-28T00:00:00"/>
    <x v="1"/>
    <x v="1"/>
    <s v="Andheri"/>
    <x v="1"/>
    <x v="5"/>
    <n v="7"/>
    <n v="30"/>
    <n v="210"/>
    <s v="Card"/>
    <n v="40"/>
    <x v="23"/>
    <n v="70"/>
  </r>
  <r>
    <s v="B1113"/>
    <d v="2026-04-28T00:00:00"/>
    <d v="2026-04-28T00:00:00"/>
    <x v="2"/>
    <x v="2"/>
    <s v="Whitefield"/>
    <x v="2"/>
    <x v="6"/>
    <n v="4"/>
    <n v="120"/>
    <n v="480"/>
    <s v="COD"/>
    <n v="130"/>
    <x v="29"/>
    <n v="40"/>
  </r>
  <r>
    <s v="B1114"/>
    <d v="2026-04-28T00:00:00"/>
    <d v="2026-04-29T00:00:00"/>
    <x v="3"/>
    <x v="0"/>
    <s v="Baner"/>
    <x v="3"/>
    <x v="0"/>
    <n v="15"/>
    <n v="30"/>
    <n v="450"/>
    <s v="UPI"/>
    <n v="35"/>
    <x v="41"/>
    <n v="75"/>
  </r>
  <r>
    <s v="B1115"/>
    <d v="2026-04-29T00:00:00"/>
    <d v="2026-04-29T00:00:00"/>
    <x v="4"/>
    <x v="3"/>
    <s v="Rohini"/>
    <x v="4"/>
    <x v="4"/>
    <n v="3"/>
    <n v="950"/>
    <n v="2850"/>
    <s v="Wallet"/>
    <n v="1000"/>
    <x v="25"/>
    <n v="150"/>
  </r>
  <r>
    <s v="B1116"/>
    <d v="2026-04-29T00:00:00"/>
    <d v="2026-04-30T00:00:00"/>
    <x v="5"/>
    <x v="4"/>
    <s v="Gachibowli"/>
    <x v="0"/>
    <x v="0"/>
    <n v="5"/>
    <n v="30"/>
    <n v="150"/>
    <s v="Card"/>
    <n v="35"/>
    <x v="22"/>
    <n v="25"/>
  </r>
  <r>
    <s v="B1117"/>
    <d v="2026-04-30T00:00:00"/>
    <d v="2026-04-30T00:00:00"/>
    <x v="6"/>
    <x v="5"/>
    <s v="Velachery"/>
    <x v="1"/>
    <x v="0"/>
    <n v="7"/>
    <n v="30"/>
    <n v="210"/>
    <s v="UPI"/>
    <n v="35"/>
    <x v="38"/>
    <n v="35"/>
  </r>
  <r>
    <s v="B1118"/>
    <d v="2026-04-30T00:00:00"/>
    <d v="2026-05-01T00:00:00"/>
    <x v="25"/>
    <x v="0"/>
    <s v="Kothrud"/>
    <x v="5"/>
    <x v="2"/>
    <n v="30"/>
    <n v="110"/>
    <n v="3300"/>
    <s v="COD"/>
    <n v="120"/>
    <x v="51"/>
    <n v="300"/>
  </r>
  <r>
    <s v="B1119"/>
    <d v="2026-05-01T00:00:00"/>
    <d v="2026-05-01T00:00:00"/>
    <x v="8"/>
    <x v="1"/>
    <s v="Powai"/>
    <x v="6"/>
    <x v="0"/>
    <n v="18"/>
    <n v="30"/>
    <n v="540"/>
    <s v="UPI"/>
    <n v="35"/>
    <x v="52"/>
    <n v="90"/>
  </r>
  <r>
    <s v="B1120"/>
    <d v="2026-05-01T00:00:00"/>
    <d v="2026-05-02T00:00:00"/>
    <x v="9"/>
    <x v="3"/>
    <s v="Dwarka"/>
    <x v="7"/>
    <x v="4"/>
    <n v="6"/>
    <n v="950"/>
    <n v="5700"/>
    <s v="Card"/>
    <n v="1000"/>
    <x v="42"/>
    <n v="300"/>
  </r>
  <r>
    <s v="B1121"/>
    <d v="2026-05-02T00:00:00"/>
    <d v="2026-05-02T00:00:00"/>
    <x v="10"/>
    <x v="2"/>
    <s v="Indiranagar"/>
    <x v="2"/>
    <x v="4"/>
    <n v="7"/>
    <n v="950"/>
    <n v="6650"/>
    <s v="Wallet"/>
    <n v="1000"/>
    <x v="34"/>
    <n v="350"/>
  </r>
  <r>
    <s v="B1122"/>
    <d v="2026-05-02T00:00:00"/>
    <d v="2026-05-03T00:00:00"/>
    <x v="11"/>
    <x v="1"/>
    <s v="Bandra"/>
    <x v="0"/>
    <x v="6"/>
    <n v="5"/>
    <n v="120"/>
    <n v="600"/>
    <s v="UPI"/>
    <n v="130"/>
    <x v="14"/>
    <n v="50"/>
  </r>
  <r>
    <s v="B1123"/>
    <d v="2026-05-03T00:00:00"/>
    <d v="2026-05-03T00:00:00"/>
    <x v="12"/>
    <x v="0"/>
    <s v="Hinjewadi"/>
    <x v="4"/>
    <x v="1"/>
    <n v="9"/>
    <n v="20"/>
    <n v="180"/>
    <s v="COD"/>
    <n v="25"/>
    <x v="36"/>
    <n v="45"/>
  </r>
  <r>
    <s v="B1124"/>
    <d v="2026-05-03T00:00:00"/>
    <d v="2026-05-04T00:00:00"/>
    <x v="13"/>
    <x v="3"/>
    <s v="Saket"/>
    <x v="1"/>
    <x v="1"/>
    <n v="30"/>
    <n v="20"/>
    <n v="600"/>
    <s v="Card"/>
    <n v="25"/>
    <x v="53"/>
    <n v="150"/>
  </r>
  <r>
    <s v="B1125"/>
    <d v="2026-05-04T00:00:00"/>
    <d v="2026-05-04T00:00:00"/>
    <x v="14"/>
    <x v="5"/>
    <s v="Anna Nagar"/>
    <x v="3"/>
    <x v="4"/>
    <n v="7"/>
    <n v="950"/>
    <n v="6650"/>
    <s v="UPI"/>
    <n v="1000"/>
    <x v="34"/>
    <n v="350"/>
  </r>
  <r>
    <s v="B1126"/>
    <d v="2026-05-04T00:00:00"/>
    <d v="2026-05-05T00:00:00"/>
    <x v="15"/>
    <x v="4"/>
    <s v="Madhapur"/>
    <x v="5"/>
    <x v="6"/>
    <n v="10"/>
    <n v="120"/>
    <n v="1200"/>
    <s v="Wallet"/>
    <n v="130"/>
    <x v="54"/>
    <n v="100"/>
  </r>
  <r>
    <s v="B1127"/>
    <d v="2026-05-05T00:00:00"/>
    <d v="2026-05-05T00:00:00"/>
    <x v="16"/>
    <x v="1"/>
    <s v="Thane"/>
    <x v="4"/>
    <x v="4"/>
    <n v="9"/>
    <n v="950"/>
    <n v="8550"/>
    <s v="UPI"/>
    <n v="1000"/>
    <x v="55"/>
    <n v="450"/>
  </r>
  <r>
    <s v="B1128"/>
    <d v="2026-05-05T00:00:00"/>
    <d v="2026-05-06T00:00:00"/>
    <x v="17"/>
    <x v="0"/>
    <s v="Aundh"/>
    <x v="2"/>
    <x v="2"/>
    <n v="9"/>
    <n v="110"/>
    <n v="990"/>
    <s v="Card"/>
    <n v="120"/>
    <x v="56"/>
    <n v="90"/>
  </r>
  <r>
    <s v="B1129"/>
    <d v="2026-05-06T00:00:00"/>
    <d v="2026-05-06T00:00:00"/>
    <x v="18"/>
    <x v="3"/>
    <s v="Karol Bagh"/>
    <x v="0"/>
    <x v="1"/>
    <n v="12"/>
    <n v="20"/>
    <n v="240"/>
    <s v="COD"/>
    <n v="25"/>
    <x v="57"/>
    <n v="60"/>
  </r>
  <r>
    <s v="B1130"/>
    <d v="2026-05-06T00:00:00"/>
    <d v="2026-05-07T00:00:00"/>
    <x v="19"/>
    <x v="2"/>
    <s v="HSR Layout"/>
    <x v="7"/>
    <x v="7"/>
    <n v="7"/>
    <n v="220"/>
    <n v="1540"/>
    <s v="UPI"/>
    <n v="230"/>
    <x v="58"/>
    <n v="70"/>
  </r>
  <r>
    <s v="B1131"/>
    <d v="2026-05-07T00:00:00"/>
    <d v="2026-05-07T00:00:00"/>
    <x v="20"/>
    <x v="1"/>
    <s v="Navi Mumbai"/>
    <x v="6"/>
    <x v="0"/>
    <n v="10"/>
    <n v="30"/>
    <n v="300"/>
    <s v="Wallet"/>
    <n v="35"/>
    <x v="31"/>
    <n v="50"/>
  </r>
  <r>
    <s v="B1132"/>
    <d v="2026-05-07T00:00:00"/>
    <d v="2026-05-08T00:00:00"/>
    <x v="21"/>
    <x v="0"/>
    <s v="Pimple Saudagar"/>
    <x v="1"/>
    <x v="1"/>
    <n v="35"/>
    <n v="20"/>
    <n v="700"/>
    <s v="UPI"/>
    <n v="25"/>
    <x v="59"/>
    <n v="175"/>
  </r>
  <r>
    <s v="B1133"/>
    <d v="2026-05-08T00:00:00"/>
    <d v="2026-05-08T00:00:00"/>
    <x v="22"/>
    <x v="3"/>
    <s v="Laxmi Nagar"/>
    <x v="3"/>
    <x v="3"/>
    <n v="6"/>
    <n v="180"/>
    <n v="1080"/>
    <s v="Card"/>
    <n v="200"/>
    <x v="60"/>
    <n v="120"/>
  </r>
  <r>
    <s v="B1134"/>
    <d v="2026-05-08T00:00:00"/>
    <d v="2026-05-09T00:00:00"/>
    <x v="23"/>
    <x v="5"/>
    <s v="T Nagar"/>
    <x v="0"/>
    <x v="0"/>
    <n v="8"/>
    <n v="30"/>
    <n v="240"/>
    <s v="COD"/>
    <n v="35"/>
    <x v="23"/>
    <n v="40"/>
  </r>
  <r>
    <s v="B1135"/>
    <d v="2026-05-09T00:00:00"/>
    <d v="2026-05-09T00:00:00"/>
    <x v="24"/>
    <x v="4"/>
    <s v="Kukatpally"/>
    <x v="4"/>
    <x v="1"/>
    <n v="6"/>
    <n v="20"/>
    <n v="120"/>
    <s v="UPI"/>
    <n v="25"/>
    <x v="19"/>
    <n v="30"/>
  </r>
  <r>
    <s v="B1136"/>
    <d v="2026-05-09T00:00:00"/>
    <d v="2026-05-10T00:00:00"/>
    <x v="27"/>
    <x v="0"/>
    <s v="Wakad"/>
    <x v="0"/>
    <x v="6"/>
    <n v="7"/>
    <n v="120"/>
    <n v="840"/>
    <s v="UPI"/>
    <n v="130"/>
    <x v="61"/>
    <n v="70"/>
  </r>
  <r>
    <s v="B1137"/>
    <d v="2026-05-10T00:00:00"/>
    <d v="2026-05-10T00:00:00"/>
    <x v="1"/>
    <x v="1"/>
    <s v="Andheri"/>
    <x v="1"/>
    <x v="5"/>
    <n v="8"/>
    <n v="30"/>
    <n v="240"/>
    <s v="Card"/>
    <n v="40"/>
    <x v="26"/>
    <n v="80"/>
  </r>
  <r>
    <s v="B1138"/>
    <d v="2026-05-10T00:00:00"/>
    <d v="2026-05-11T00:00:00"/>
    <x v="2"/>
    <x v="2"/>
    <s v="Whitefield"/>
    <x v="2"/>
    <x v="6"/>
    <n v="5"/>
    <n v="120"/>
    <n v="600"/>
    <s v="COD"/>
    <n v="130"/>
    <x v="14"/>
    <n v="50"/>
  </r>
  <r>
    <s v="B1139"/>
    <d v="2026-05-11T00:00:00"/>
    <d v="2026-05-11T00:00:00"/>
    <x v="3"/>
    <x v="0"/>
    <s v="Baner"/>
    <x v="3"/>
    <x v="0"/>
    <n v="18"/>
    <n v="30"/>
    <n v="540"/>
    <s v="UPI"/>
    <n v="35"/>
    <x v="52"/>
    <n v="90"/>
  </r>
  <r>
    <s v="B1140"/>
    <d v="2026-05-11T00:00:00"/>
    <d v="2026-05-12T00:00:00"/>
    <x v="4"/>
    <x v="3"/>
    <s v="Rohini"/>
    <x v="4"/>
    <x v="4"/>
    <n v="4"/>
    <n v="950"/>
    <n v="3800"/>
    <s v="Wallet"/>
    <n v="1000"/>
    <x v="62"/>
    <n v="200"/>
  </r>
  <r>
    <s v="B1141"/>
    <d v="2026-05-12T00:00:00"/>
    <d v="2026-05-12T00:00:00"/>
    <x v="5"/>
    <x v="4"/>
    <s v="Gachibowli"/>
    <x v="0"/>
    <x v="0"/>
    <n v="6"/>
    <n v="30"/>
    <n v="180"/>
    <s v="Card"/>
    <n v="35"/>
    <x v="15"/>
    <n v="30"/>
  </r>
  <r>
    <s v="B1142"/>
    <d v="2026-05-12T00:00:00"/>
    <d v="2026-05-13T00:00:00"/>
    <x v="6"/>
    <x v="5"/>
    <s v="Velachery"/>
    <x v="1"/>
    <x v="0"/>
    <n v="8"/>
    <n v="30"/>
    <n v="240"/>
    <s v="UPI"/>
    <n v="35"/>
    <x v="23"/>
    <n v="40"/>
  </r>
  <r>
    <s v="B1143"/>
    <d v="2026-05-13T00:00:00"/>
    <d v="2026-05-13T00:00:00"/>
    <x v="7"/>
    <x v="0"/>
    <s v="Kothrud"/>
    <x v="5"/>
    <x v="2"/>
    <n v="35"/>
    <n v="110"/>
    <n v="3850"/>
    <s v="COD"/>
    <n v="120"/>
    <x v="63"/>
    <n v="350"/>
  </r>
  <r>
    <s v="B1144"/>
    <d v="2026-05-13T00:00:00"/>
    <d v="2026-05-14T00:00:00"/>
    <x v="8"/>
    <x v="1"/>
    <s v="Powai"/>
    <x v="6"/>
    <x v="0"/>
    <n v="20"/>
    <n v="30"/>
    <n v="600"/>
    <s v="UPI"/>
    <n v="35"/>
    <x v="64"/>
    <n v="100"/>
  </r>
  <r>
    <s v="B1145"/>
    <d v="2026-05-14T00:00:00"/>
    <d v="2026-05-14T00:00:00"/>
    <x v="9"/>
    <x v="3"/>
    <s v="Dwarka"/>
    <x v="7"/>
    <x v="4"/>
    <n v="7"/>
    <n v="950"/>
    <n v="6650"/>
    <s v="Card"/>
    <n v="1000"/>
    <x v="34"/>
    <n v="350"/>
  </r>
  <r>
    <s v="B1146"/>
    <d v="2026-05-14T00:00:00"/>
    <d v="2026-05-15T00:00:00"/>
    <x v="10"/>
    <x v="2"/>
    <s v="Indiranagar"/>
    <x v="2"/>
    <x v="4"/>
    <n v="8"/>
    <n v="950"/>
    <n v="7600"/>
    <s v="Wallet"/>
    <n v="1000"/>
    <x v="45"/>
    <n v="400"/>
  </r>
  <r>
    <s v="B1147"/>
    <d v="2026-05-15T00:00:00"/>
    <d v="2026-05-15T00:00:00"/>
    <x v="11"/>
    <x v="1"/>
    <s v="Bandra"/>
    <x v="0"/>
    <x v="6"/>
    <n v="6"/>
    <n v="120"/>
    <n v="720"/>
    <s v="UPI"/>
    <n v="130"/>
    <x v="27"/>
    <n v="60"/>
  </r>
  <r>
    <s v="B1148"/>
    <d v="2026-05-15T00:00:00"/>
    <d v="2026-05-16T00:00:00"/>
    <x v="12"/>
    <x v="0"/>
    <s v="Hinjewadi"/>
    <x v="4"/>
    <x v="1"/>
    <n v="10"/>
    <n v="20"/>
    <n v="200"/>
    <s v="COD"/>
    <n v="25"/>
    <x v="47"/>
    <n v="50"/>
  </r>
  <r>
    <s v="B1149"/>
    <d v="2026-05-16T00:00:00"/>
    <d v="2026-05-16T00:00:00"/>
    <x v="13"/>
    <x v="3"/>
    <s v="Saket"/>
    <x v="1"/>
    <x v="1"/>
    <n v="40"/>
    <n v="20"/>
    <n v="800"/>
    <s v="Card"/>
    <n v="25"/>
    <x v="4"/>
    <n v="200"/>
  </r>
  <r>
    <s v="B1150"/>
    <d v="2026-05-16T00:00:00"/>
    <d v="2026-05-17T00:00:00"/>
    <x v="14"/>
    <x v="5"/>
    <s v="Anna Nagar"/>
    <x v="3"/>
    <x v="4"/>
    <n v="8"/>
    <n v="950"/>
    <n v="7600"/>
    <s v="UPI"/>
    <n v="1000"/>
    <x v="45"/>
    <n v="400"/>
  </r>
  <r>
    <s v="B1151"/>
    <d v="2026-05-17T00:00:00"/>
    <d v="2026-05-17T00:00:00"/>
    <x v="15"/>
    <x v="4"/>
    <s v="Madhapur"/>
    <x v="5"/>
    <x v="6"/>
    <n v="11"/>
    <n v="120"/>
    <n v="1320"/>
    <s v="Wallet"/>
    <n v="130"/>
    <x v="65"/>
    <n v="110"/>
  </r>
  <r>
    <s v="B1152"/>
    <d v="2026-05-17T00:00:00"/>
    <d v="2026-05-18T00:00:00"/>
    <x v="16"/>
    <x v="1"/>
    <s v="Thane"/>
    <x v="4"/>
    <x v="4"/>
    <n v="10"/>
    <n v="950"/>
    <n v="9500"/>
    <s v="UPI"/>
    <n v="1000"/>
    <x v="66"/>
    <n v="500"/>
  </r>
  <r>
    <s v="B1153"/>
    <d v="2026-05-18T00:00:00"/>
    <d v="2026-05-18T00:00:00"/>
    <x v="17"/>
    <x v="0"/>
    <s v="Aundh"/>
    <x v="2"/>
    <x v="2"/>
    <n v="10"/>
    <n v="110"/>
    <n v="1100"/>
    <s v="Card"/>
    <n v="120"/>
    <x v="60"/>
    <n v="100"/>
  </r>
  <r>
    <s v="B1154"/>
    <d v="2026-05-18T00:00:00"/>
    <d v="2026-05-19T00:00:00"/>
    <x v="18"/>
    <x v="3"/>
    <s v="Karol Bagh"/>
    <x v="0"/>
    <x v="1"/>
    <n v="13"/>
    <n v="20"/>
    <n v="260"/>
    <s v="COD"/>
    <n v="25"/>
    <x v="67"/>
    <n v="65"/>
  </r>
  <r>
    <s v="B1155"/>
    <d v="2026-05-19T00:00:00"/>
    <d v="2026-05-19T00:00:00"/>
    <x v="19"/>
    <x v="2"/>
    <s v="HSR Layout"/>
    <x v="7"/>
    <x v="7"/>
    <n v="8"/>
    <n v="220"/>
    <n v="1760"/>
    <s v="UPI"/>
    <n v="230"/>
    <x v="68"/>
    <n v="80"/>
  </r>
  <r>
    <s v="B1156"/>
    <d v="2026-05-19T00:00:00"/>
    <d v="2026-05-20T00:00:00"/>
    <x v="20"/>
    <x v="1"/>
    <s v="Navi Mumbai"/>
    <x v="6"/>
    <x v="0"/>
    <n v="11"/>
    <n v="30"/>
    <n v="330"/>
    <s v="Wallet"/>
    <n v="35"/>
    <x v="69"/>
    <n v="55"/>
  </r>
  <r>
    <s v="B1157"/>
    <d v="2026-05-20T00:00:00"/>
    <d v="2026-05-20T00:00:00"/>
    <x v="21"/>
    <x v="0"/>
    <s v="Pimple Saudagar"/>
    <x v="1"/>
    <x v="1"/>
    <n v="45"/>
    <n v="20"/>
    <n v="900"/>
    <s v="UPI"/>
    <n v="25"/>
    <x v="70"/>
    <n v="225"/>
  </r>
  <r>
    <s v="B1158"/>
    <d v="2026-05-20T00:00:00"/>
    <d v="2026-05-21T00:00:00"/>
    <x v="22"/>
    <x v="3"/>
    <s v="Laxmi Nagar"/>
    <x v="3"/>
    <x v="3"/>
    <n v="7"/>
    <n v="180"/>
    <n v="1260"/>
    <s v="Card"/>
    <n v="200"/>
    <x v="71"/>
    <n v="140"/>
  </r>
  <r>
    <s v="B1159"/>
    <d v="2026-05-21T00:00:00"/>
    <d v="2026-05-21T00:00:00"/>
    <x v="23"/>
    <x v="5"/>
    <s v="T Nagar"/>
    <x v="0"/>
    <x v="0"/>
    <n v="9"/>
    <n v="30"/>
    <n v="270"/>
    <s v="COD"/>
    <n v="35"/>
    <x v="72"/>
    <n v="45"/>
  </r>
  <r>
    <s v="B1160"/>
    <d v="2026-05-21T00:00:00"/>
    <d v="2026-05-22T00:00:00"/>
    <x v="24"/>
    <x v="4"/>
    <s v="Kukatpally"/>
    <x v="4"/>
    <x v="1"/>
    <n v="7"/>
    <n v="20"/>
    <n v="140"/>
    <s v="UPI"/>
    <n v="25"/>
    <x v="22"/>
    <n v="35"/>
  </r>
  <r>
    <s v="B1161"/>
    <d v="2026-05-22T00:00:00"/>
    <d v="2026-05-22T00:00:00"/>
    <x v="28"/>
    <x v="0"/>
    <s v="Wakad"/>
    <x v="0"/>
    <x v="6"/>
    <n v="8"/>
    <n v="120"/>
    <n v="960"/>
    <s v="UPI"/>
    <n v="130"/>
    <x v="33"/>
    <n v="80"/>
  </r>
  <r>
    <s v="B1162"/>
    <d v="2026-05-22T00:00:00"/>
    <d v="2026-05-23T00:00:00"/>
    <x v="1"/>
    <x v="1"/>
    <s v="Andheri"/>
    <x v="1"/>
    <x v="5"/>
    <n v="9"/>
    <n v="30"/>
    <n v="270"/>
    <s v="Card"/>
    <n v="40"/>
    <x v="17"/>
    <n v="90"/>
  </r>
  <r>
    <s v="B1163"/>
    <d v="2026-05-23T00:00:00"/>
    <d v="2026-05-23T00:00:00"/>
    <x v="2"/>
    <x v="2"/>
    <s v="Whitefield"/>
    <x v="2"/>
    <x v="6"/>
    <n v="6"/>
    <n v="120"/>
    <n v="720"/>
    <s v="COD"/>
    <n v="130"/>
    <x v="27"/>
    <n v="60"/>
  </r>
  <r>
    <s v="B1164"/>
    <d v="2026-05-23T00:00:00"/>
    <d v="2026-05-24T00:00:00"/>
    <x v="3"/>
    <x v="0"/>
    <s v="Baner"/>
    <x v="3"/>
    <x v="0"/>
    <n v="20"/>
    <n v="30"/>
    <n v="600"/>
    <s v="UPI"/>
    <n v="35"/>
    <x v="64"/>
    <n v="100"/>
  </r>
  <r>
    <s v="B1165"/>
    <d v="2026-05-24T00:00:00"/>
    <d v="2026-05-24T00:00:00"/>
    <x v="4"/>
    <x v="3"/>
    <s v="Rohini"/>
    <x v="4"/>
    <x v="4"/>
    <n v="5"/>
    <n v="950"/>
    <n v="4750"/>
    <s v="Wallet"/>
    <n v="1000"/>
    <x v="32"/>
    <n v="250"/>
  </r>
  <r>
    <s v="B1166"/>
    <d v="2026-05-24T00:00:00"/>
    <d v="2026-05-25T00:00:00"/>
    <x v="5"/>
    <x v="4"/>
    <s v="Gachibowli"/>
    <x v="0"/>
    <x v="0"/>
    <n v="7"/>
    <n v="30"/>
    <n v="210"/>
    <s v="Card"/>
    <n v="35"/>
    <x v="38"/>
    <n v="35"/>
  </r>
  <r>
    <s v="B1167"/>
    <d v="2026-05-25T00:00:00"/>
    <d v="2026-05-25T00:00:00"/>
    <x v="6"/>
    <x v="5"/>
    <s v="Velachery"/>
    <x v="1"/>
    <x v="0"/>
    <n v="9"/>
    <n v="30"/>
    <n v="270"/>
    <s v="UPI"/>
    <n v="35"/>
    <x v="72"/>
    <n v="45"/>
  </r>
  <r>
    <s v="B1168"/>
    <d v="2026-05-25T00:00:00"/>
    <d v="2026-05-26T00:00:00"/>
    <x v="7"/>
    <x v="0"/>
    <s v="Kothrud"/>
    <x v="5"/>
    <x v="2"/>
    <n v="40"/>
    <n v="110"/>
    <n v="4400"/>
    <s v="COD"/>
    <n v="120"/>
    <x v="73"/>
    <n v="400"/>
  </r>
  <r>
    <s v="B1169"/>
    <d v="2026-05-26T00:00:00"/>
    <d v="2026-05-26T00:00:00"/>
    <x v="8"/>
    <x v="1"/>
    <s v="Powai"/>
    <x v="6"/>
    <x v="0"/>
    <n v="22"/>
    <n v="30"/>
    <n v="660"/>
    <s v="UPI"/>
    <n v="35"/>
    <x v="74"/>
    <n v="110"/>
  </r>
  <r>
    <s v="B1170"/>
    <d v="2026-05-26T00:00:00"/>
    <d v="2026-05-27T00:00:00"/>
    <x v="9"/>
    <x v="3"/>
    <s v="Dwarka"/>
    <x v="7"/>
    <x v="4"/>
    <n v="8"/>
    <n v="950"/>
    <n v="7600"/>
    <s v="Card"/>
    <n v="1000"/>
    <x v="45"/>
    <n v="400"/>
  </r>
  <r>
    <s v="B1171"/>
    <d v="2026-05-27T00:00:00"/>
    <d v="2026-05-27T00:00:00"/>
    <x v="10"/>
    <x v="2"/>
    <s v="Indiranagar"/>
    <x v="2"/>
    <x v="4"/>
    <n v="9"/>
    <n v="950"/>
    <n v="8550"/>
    <s v="Wallet"/>
    <n v="1000"/>
    <x v="55"/>
    <n v="450"/>
  </r>
  <r>
    <s v="B1172"/>
    <d v="2026-05-27T00:00:00"/>
    <d v="2026-05-28T00:00:00"/>
    <x v="11"/>
    <x v="1"/>
    <s v="Bandra"/>
    <x v="0"/>
    <x v="6"/>
    <n v="7"/>
    <n v="120"/>
    <n v="840"/>
    <s v="UPI"/>
    <n v="130"/>
    <x v="61"/>
    <n v="70"/>
  </r>
  <r>
    <s v="B1173"/>
    <d v="2026-05-28T00:00:00"/>
    <d v="2026-05-28T00:00:00"/>
    <x v="12"/>
    <x v="0"/>
    <s v="Hinjewadi"/>
    <x v="4"/>
    <x v="1"/>
    <n v="11"/>
    <n v="20"/>
    <n v="220"/>
    <s v="COD"/>
    <n v="25"/>
    <x v="75"/>
    <n v="55"/>
  </r>
  <r>
    <s v="B1174"/>
    <d v="2026-05-28T00:00:00"/>
    <d v="2026-05-29T00:00:00"/>
    <x v="13"/>
    <x v="3"/>
    <s v="Saket"/>
    <x v="1"/>
    <x v="1"/>
    <n v="50"/>
    <n v="20"/>
    <n v="1000"/>
    <s v="Card"/>
    <n v="25"/>
    <x v="76"/>
    <n v="250"/>
  </r>
  <r>
    <s v="B1175"/>
    <d v="2026-05-29T00:00:00"/>
    <d v="2026-05-29T00:00:00"/>
    <x v="14"/>
    <x v="5"/>
    <s v="Anna Nagar"/>
    <x v="3"/>
    <x v="4"/>
    <n v="9"/>
    <n v="950"/>
    <n v="8550"/>
    <s v="UPI"/>
    <n v="1000"/>
    <x v="55"/>
    <n v="450"/>
  </r>
  <r>
    <s v="B1176"/>
    <d v="2026-05-29T00:00:00"/>
    <d v="2026-05-30T00:00:00"/>
    <x v="15"/>
    <x v="4"/>
    <s v="Madhapur"/>
    <x v="5"/>
    <x v="6"/>
    <n v="12"/>
    <n v="120"/>
    <n v="1440"/>
    <s v="Wallet"/>
    <n v="130"/>
    <x v="77"/>
    <n v="120"/>
  </r>
  <r>
    <s v="B1177"/>
    <d v="2026-05-30T00:00:00"/>
    <d v="2026-05-30T00:00:00"/>
    <x v="16"/>
    <x v="1"/>
    <s v="Thane"/>
    <x v="4"/>
    <x v="4"/>
    <n v="12"/>
    <n v="950"/>
    <n v="11400"/>
    <s v="UPI"/>
    <n v="1000"/>
    <x v="78"/>
    <n v="600"/>
  </r>
  <r>
    <s v="B1178"/>
    <d v="2026-05-30T00:00:00"/>
    <d v="2026-05-31T00:00:00"/>
    <x v="17"/>
    <x v="0"/>
    <s v="Aundh"/>
    <x v="2"/>
    <x v="2"/>
    <n v="11"/>
    <n v="110"/>
    <n v="1210"/>
    <s v="Card"/>
    <n v="120"/>
    <x v="79"/>
    <n v="110"/>
  </r>
  <r>
    <s v="B1179"/>
    <d v="2026-05-31T00:00:00"/>
    <d v="2026-05-31T00:00:00"/>
    <x v="18"/>
    <x v="3"/>
    <s v="Karol Bagh"/>
    <x v="0"/>
    <x v="1"/>
    <n v="15"/>
    <n v="20"/>
    <n v="300"/>
    <s v="COD"/>
    <n v="25"/>
    <x v="80"/>
    <n v="75"/>
  </r>
  <r>
    <s v="B1180"/>
    <d v="2026-05-31T00:00:00"/>
    <d v="2026-06-01T00:00:00"/>
    <x v="19"/>
    <x v="2"/>
    <s v="HSR Layout"/>
    <x v="7"/>
    <x v="7"/>
    <n v="9"/>
    <n v="220"/>
    <n v="1980"/>
    <s v="UPI"/>
    <n v="230"/>
    <x v="81"/>
    <n v="90"/>
  </r>
  <r>
    <s v="B1181"/>
    <d v="2026-06-01T00:00:00"/>
    <d v="2026-06-01T00:00:00"/>
    <x v="20"/>
    <x v="1"/>
    <s v="Navi Mumbai"/>
    <x v="6"/>
    <x v="0"/>
    <n v="12"/>
    <n v="30"/>
    <n v="360"/>
    <s v="Wallet"/>
    <n v="35"/>
    <x v="40"/>
    <n v="60"/>
  </r>
  <r>
    <s v="B1182"/>
    <d v="2026-06-01T00:00:00"/>
    <d v="2026-06-02T00:00:00"/>
    <x v="21"/>
    <x v="0"/>
    <s v="Pimple Saudagar"/>
    <x v="1"/>
    <x v="1"/>
    <n v="55"/>
    <n v="20"/>
    <n v="1100"/>
    <s v="UPI"/>
    <n v="25"/>
    <x v="82"/>
    <n v="275"/>
  </r>
  <r>
    <s v="B1183"/>
    <d v="2026-06-02T00:00:00"/>
    <d v="2026-06-02T00:00:00"/>
    <x v="22"/>
    <x v="3"/>
    <s v="Laxmi Nagar"/>
    <x v="3"/>
    <x v="3"/>
    <n v="8"/>
    <n v="180"/>
    <n v="1440"/>
    <s v="Card"/>
    <n v="200"/>
    <x v="83"/>
    <n v="160"/>
  </r>
  <r>
    <s v="B1184"/>
    <d v="2026-06-02T00:00:00"/>
    <d v="2026-06-03T00:00:00"/>
    <x v="23"/>
    <x v="5"/>
    <s v="T Nagar"/>
    <x v="0"/>
    <x v="0"/>
    <n v="10"/>
    <n v="30"/>
    <n v="300"/>
    <s v="COD"/>
    <n v="35"/>
    <x v="31"/>
    <n v="50"/>
  </r>
  <r>
    <s v="B1185"/>
    <d v="2026-06-03T00:00:00"/>
    <d v="2026-06-03T00:00:00"/>
    <x v="24"/>
    <x v="4"/>
    <s v="Kukatpally"/>
    <x v="4"/>
    <x v="1"/>
    <n v="8"/>
    <n v="20"/>
    <n v="160"/>
    <s v="UPI"/>
    <n v="25"/>
    <x v="5"/>
    <n v="40"/>
  </r>
  <r>
    <s v="B1186"/>
    <d v="2026-06-03T00:00:00"/>
    <d v="2026-06-04T00:00:00"/>
    <x v="0"/>
    <x v="0"/>
    <s v="Wakad"/>
    <x v="0"/>
    <x v="6"/>
    <n v="9"/>
    <n v="120"/>
    <n v="1080"/>
    <s v="UPI"/>
    <n v="130"/>
    <x v="44"/>
    <n v="90"/>
  </r>
  <r>
    <s v="B1187"/>
    <d v="2026-06-04T00:00:00"/>
    <d v="2026-06-04T00:00:00"/>
    <x v="1"/>
    <x v="1"/>
    <s v="Andheri"/>
    <x v="1"/>
    <x v="5"/>
    <n v="10"/>
    <n v="30"/>
    <n v="300"/>
    <s v="Card"/>
    <n v="40"/>
    <x v="3"/>
    <n v="100"/>
  </r>
  <r>
    <s v="B1188"/>
    <d v="2026-06-04T00:00:00"/>
    <d v="2026-06-05T00:00:00"/>
    <x v="2"/>
    <x v="2"/>
    <s v="Whitefield"/>
    <x v="2"/>
    <x v="6"/>
    <n v="7"/>
    <n v="120"/>
    <n v="840"/>
    <s v="COD"/>
    <n v="130"/>
    <x v="61"/>
    <n v="70"/>
  </r>
  <r>
    <s v="B1189"/>
    <d v="2026-06-05T00:00:00"/>
    <d v="2026-06-05T00:00:00"/>
    <x v="3"/>
    <x v="0"/>
    <s v="Baner"/>
    <x v="3"/>
    <x v="0"/>
    <n v="22"/>
    <n v="30"/>
    <n v="660"/>
    <s v="UPI"/>
    <n v="35"/>
    <x v="74"/>
    <n v="110"/>
  </r>
  <r>
    <s v="B1190"/>
    <d v="2026-06-05T00:00:00"/>
    <d v="2026-06-06T00:00:00"/>
    <x v="4"/>
    <x v="3"/>
    <s v="Rohini"/>
    <x v="4"/>
    <x v="4"/>
    <n v="6"/>
    <n v="950"/>
    <n v="5700"/>
    <s v="Wallet"/>
    <n v="1000"/>
    <x v="42"/>
    <n v="300"/>
  </r>
  <r>
    <s v="B1191"/>
    <d v="2026-06-06T00:00:00"/>
    <d v="2026-06-06T00:00:00"/>
    <x v="5"/>
    <x v="4"/>
    <s v="Gachibowli"/>
    <x v="0"/>
    <x v="0"/>
    <n v="8"/>
    <n v="30"/>
    <n v="240"/>
    <s v="Card"/>
    <n v="35"/>
    <x v="23"/>
    <n v="40"/>
  </r>
  <r>
    <s v="B1192"/>
    <d v="2026-06-06T00:00:00"/>
    <d v="2026-06-07T00:00:00"/>
    <x v="6"/>
    <x v="5"/>
    <s v="Velachery"/>
    <x v="1"/>
    <x v="0"/>
    <n v="10"/>
    <n v="30"/>
    <n v="300"/>
    <s v="UPI"/>
    <n v="35"/>
    <x v="31"/>
    <n v="50"/>
  </r>
  <r>
    <s v="B1193"/>
    <d v="2026-06-07T00:00:00"/>
    <d v="2026-06-07T00:00:00"/>
    <x v="25"/>
    <x v="0"/>
    <s v="Kothrud"/>
    <x v="5"/>
    <x v="2"/>
    <n v="45"/>
    <n v="110"/>
    <n v="4950"/>
    <s v="COD"/>
    <n v="120"/>
    <x v="84"/>
    <n v="450"/>
  </r>
  <r>
    <s v="B1194"/>
    <d v="2026-06-07T00:00:00"/>
    <d v="2026-06-08T00:00:00"/>
    <x v="8"/>
    <x v="1"/>
    <s v="Powai"/>
    <x v="6"/>
    <x v="0"/>
    <n v="25"/>
    <n v="30"/>
    <n v="750"/>
    <s v="UPI"/>
    <n v="35"/>
    <x v="59"/>
    <n v="125"/>
  </r>
  <r>
    <s v="B1195"/>
    <d v="2026-06-08T00:00:00"/>
    <d v="2026-06-08T00:00:00"/>
    <x v="9"/>
    <x v="3"/>
    <s v="Dwarka"/>
    <x v="7"/>
    <x v="4"/>
    <n v="9"/>
    <n v="950"/>
    <n v="8550"/>
    <s v="Card"/>
    <n v="1000"/>
    <x v="55"/>
    <n v="450"/>
  </r>
  <r>
    <s v="B1196"/>
    <d v="2026-06-08T00:00:00"/>
    <d v="2026-06-09T00:00:00"/>
    <x v="10"/>
    <x v="2"/>
    <s v="Indiranagar"/>
    <x v="2"/>
    <x v="4"/>
    <n v="10"/>
    <n v="950"/>
    <n v="9500"/>
    <s v="Wallet"/>
    <n v="1000"/>
    <x v="66"/>
    <n v="500"/>
  </r>
  <r>
    <s v="B1197"/>
    <d v="2026-06-09T00:00:00"/>
    <d v="2026-06-09T00:00:00"/>
    <x v="11"/>
    <x v="1"/>
    <s v="Bandra"/>
    <x v="0"/>
    <x v="6"/>
    <n v="8"/>
    <n v="120"/>
    <n v="960"/>
    <s v="UPI"/>
    <n v="130"/>
    <x v="33"/>
    <n v="80"/>
  </r>
  <r>
    <s v="B1198"/>
    <d v="2026-06-09T00:00:00"/>
    <d v="2026-06-10T00:00:00"/>
    <x v="12"/>
    <x v="0"/>
    <s v="Hinjewadi"/>
    <x v="4"/>
    <x v="1"/>
    <n v="12"/>
    <n v="20"/>
    <n v="240"/>
    <s v="COD"/>
    <n v="25"/>
    <x v="57"/>
    <n v="60"/>
  </r>
  <r>
    <s v="B1199"/>
    <d v="2026-06-10T00:00:00"/>
    <d v="2026-06-10T00:00:00"/>
    <x v="13"/>
    <x v="3"/>
    <s v="Saket"/>
    <x v="1"/>
    <x v="1"/>
    <n v="60"/>
    <n v="20"/>
    <n v="1200"/>
    <s v="Card"/>
    <n v="25"/>
    <x v="85"/>
    <n v="300"/>
  </r>
  <r>
    <s v="B1200"/>
    <d v="2026-06-10T00:00:00"/>
    <d v="2026-06-11T00:00:00"/>
    <x v="14"/>
    <x v="5"/>
    <s v="Anna Nagar"/>
    <x v="3"/>
    <x v="4"/>
    <m/>
    <n v="950"/>
    <n v="0"/>
    <s v="UPI"/>
    <n v="1000"/>
    <x v="86"/>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rowHeaderCaption="Product_Category_Name">
  <location ref="J5:K10" firstHeaderRow="1" firstDataRow="1" firstDataCol="1"/>
  <pivotFields count="15">
    <pivotField showAll="0"/>
    <pivotField numFmtId="14" showAll="0"/>
    <pivotField numFmtId="14" showAll="0"/>
    <pivotField showAll="0"/>
    <pivotField showAll="0">
      <items count="7">
        <item h="1" x="2"/>
        <item h="1" x="5"/>
        <item h="1" x="3"/>
        <item h="1" x="4"/>
        <item x="1"/>
        <item h="1" x="0"/>
        <item t="default"/>
      </items>
    </pivotField>
    <pivotField showAll="0"/>
    <pivotField axis="axisRow" showAll="0">
      <items count="9">
        <item x="2"/>
        <item x="0"/>
        <item x="7"/>
        <item x="5"/>
        <item x="4"/>
        <item x="3"/>
        <item x="1"/>
        <item x="6"/>
        <item t="default"/>
      </items>
    </pivotField>
    <pivotField showAll="0">
      <items count="9">
        <item x="6"/>
        <item x="1"/>
        <item x="5"/>
        <item x="2"/>
        <item x="0"/>
        <item x="7"/>
        <item x="4"/>
        <item x="3"/>
        <item t="default"/>
      </items>
    </pivotField>
    <pivotField dataField="1" showAll="0"/>
    <pivotField showAll="0"/>
    <pivotField showAll="0"/>
    <pivotField showAll="0"/>
    <pivotField showAll="0"/>
    <pivotField showAll="0"/>
    <pivotField showAll="0"/>
  </pivotFields>
  <rowFields count="1">
    <field x="6"/>
  </rowFields>
  <rowItems count="5">
    <i>
      <x v="1"/>
    </i>
    <i>
      <x v="4"/>
    </i>
    <i>
      <x v="6"/>
    </i>
    <i>
      <x v="7"/>
    </i>
    <i t="grand">
      <x/>
    </i>
  </rowItems>
  <colItems count="1">
    <i/>
  </colItems>
  <dataFields count="1">
    <dataField name=" Quantity by Category" fld="8" subtotal="count" baseField="0" baseItem="0"/>
  </dataField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rowHeaderCaption="Product_Name">
  <location ref="D5:E11" firstHeaderRow="1" firstDataRow="1" firstDataCol="1"/>
  <pivotFields count="15">
    <pivotField showAll="0"/>
    <pivotField numFmtId="14" showAll="0"/>
    <pivotField numFmtId="14" showAll="0"/>
    <pivotField showAll="0"/>
    <pivotField multipleItemSelectionAllowed="1" showAll="0">
      <items count="7">
        <item h="1" x="2"/>
        <item h="1" x="5"/>
        <item h="1" x="3"/>
        <item h="1" x="4"/>
        <item x="1"/>
        <item h="1" x="0"/>
        <item t="default"/>
      </items>
    </pivotField>
    <pivotField showAll="0"/>
    <pivotField showAll="0"/>
    <pivotField axis="axisRow" showAll="0">
      <items count="9">
        <item x="3"/>
        <item x="4"/>
        <item x="7"/>
        <item x="0"/>
        <item x="2"/>
        <item x="5"/>
        <item x="1"/>
        <item x="6"/>
        <item t="default"/>
      </items>
    </pivotField>
    <pivotField dataField="1" showAll="0"/>
    <pivotField showAll="0"/>
    <pivotField showAll="0"/>
    <pivotField showAll="0"/>
    <pivotField showAll="0"/>
    <pivotField showAll="0"/>
    <pivotField showAll="0"/>
  </pivotFields>
  <rowFields count="1">
    <field x="7"/>
  </rowFields>
  <rowItems count="6">
    <i>
      <x v="1"/>
    </i>
    <i>
      <x v="3"/>
    </i>
    <i>
      <x v="5"/>
    </i>
    <i>
      <x v="6"/>
    </i>
    <i>
      <x v="7"/>
    </i>
    <i t="grand">
      <x/>
    </i>
  </rowItems>
  <colItems count="1">
    <i/>
  </colItems>
  <dataFields count="1">
    <dataField name=" Quantity by Product" fld="8" subtotal="count" baseField="0" baseItem="0"/>
  </dataFields>
  <chartFormats count="7">
    <chartFormat chart="7" format="29" series="1">
      <pivotArea type="data" outline="0" fieldPosition="0">
        <references count="1">
          <reference field="4294967294" count="1" selected="0">
            <x v="0"/>
          </reference>
        </references>
      </pivotArea>
    </chartFormat>
    <chartFormat chart="7" format="29" series="1">
      <pivotArea type="data" outline="0" fieldPosition="0">
        <references count="1">
          <reference field="4294967294" count="1" selected="0">
            <x v="0"/>
          </reference>
        </references>
      </pivotArea>
    </chartFormat>
    <chartFormat chart="7" format="30">
      <pivotArea type="data" outline="0" fieldPosition="0">
        <references count="2">
          <reference field="4294967294" count="1" selected="0">
            <x v="0"/>
          </reference>
          <reference field="7" count="1" selected="0">
            <x v="1"/>
          </reference>
        </references>
      </pivotArea>
    </chartFormat>
    <chartFormat chart="7" format="31">
      <pivotArea type="data" outline="0" fieldPosition="0">
        <references count="2">
          <reference field="4294967294" count="1" selected="0">
            <x v="0"/>
          </reference>
          <reference field="7" count="1" selected="0">
            <x v="3"/>
          </reference>
        </references>
      </pivotArea>
    </chartFormat>
    <chartFormat chart="7" format="32">
      <pivotArea type="data" outline="0" fieldPosition="0">
        <references count="2">
          <reference field="4294967294" count="1" selected="0">
            <x v="0"/>
          </reference>
          <reference field="7" count="1" selected="0">
            <x v="5"/>
          </reference>
        </references>
      </pivotArea>
    </chartFormat>
    <chartFormat chart="7" format="33">
      <pivotArea type="data" outline="0" fieldPosition="0">
        <references count="2">
          <reference field="4294967294" count="1" selected="0">
            <x v="0"/>
          </reference>
          <reference field="7" count="1" selected="0">
            <x v="6"/>
          </reference>
        </references>
      </pivotArea>
    </chartFormat>
    <chartFormat chart="7" format="34">
      <pivotArea type="data" outline="0" fieldPosition="0">
        <references count="2">
          <reference field="4294967294" count="1" selected="0">
            <x v="0"/>
          </reference>
          <reference field="7" count="1" selected="0">
            <x v="7"/>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rowHeaderCaption="Product_Name">
  <location ref="G5:H11" firstHeaderRow="1" firstDataRow="1" firstDataCol="1"/>
  <pivotFields count="15">
    <pivotField showAll="0"/>
    <pivotField numFmtId="14" showAll="0"/>
    <pivotField numFmtId="14" showAll="0"/>
    <pivotField showAll="0"/>
    <pivotField showAll="0">
      <items count="7">
        <item h="1" x="2"/>
        <item h="1" x="5"/>
        <item h="1" x="3"/>
        <item h="1" x="4"/>
        <item x="1"/>
        <item h="1" x="0"/>
        <item t="default"/>
      </items>
    </pivotField>
    <pivotField showAll="0"/>
    <pivotField showAll="0"/>
    <pivotField axis="axisRow" showAll="0">
      <items count="9">
        <item x="6"/>
        <item x="1"/>
        <item x="5"/>
        <item x="2"/>
        <item x="0"/>
        <item x="7"/>
        <item x="4"/>
        <item x="3"/>
        <item t="default"/>
      </items>
    </pivotField>
    <pivotField showAll="0"/>
    <pivotField showAll="0"/>
    <pivotField showAll="0"/>
    <pivotField showAll="0"/>
    <pivotField showAll="0"/>
    <pivotField showAll="0"/>
    <pivotField dataField="1" showAll="0"/>
  </pivotFields>
  <rowFields count="1">
    <field x="7"/>
  </rowFields>
  <rowItems count="6">
    <i>
      <x/>
    </i>
    <i>
      <x v="1"/>
    </i>
    <i>
      <x v="2"/>
    </i>
    <i>
      <x v="4"/>
    </i>
    <i>
      <x v="6"/>
    </i>
    <i t="grand">
      <x/>
    </i>
  </rowItems>
  <colItems count="1">
    <i/>
  </colItems>
  <dataFields count="1">
    <dataField name=" Profit by product" fld="14" baseField="0" baseItem="0"/>
  </dataFields>
  <chartFormats count="1">
    <chartFormat chart="1" format="4" series="1">
      <pivotArea type="data" outline="0" fieldPosition="0">
        <references count="1">
          <reference field="4294967294" count="1" selected="0">
            <x v="0"/>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2" rowHeaderCaption="Customer_Name">
  <location ref="A5:B11" firstHeaderRow="1" firstDataRow="1" firstDataCol="1" rowPageCount="1" colPageCount="1"/>
  <pivotFields count="15">
    <pivotField showAll="0"/>
    <pivotField numFmtId="14" showAll="0"/>
    <pivotField numFmtId="14" showAll="0"/>
    <pivotField axis="axisRow" showAll="0">
      <items count="30">
        <item x="10"/>
        <item x="17"/>
        <item x="3"/>
        <item x="9"/>
        <item x="23"/>
        <item x="12"/>
        <item x="6"/>
        <item x="13"/>
        <item x="20"/>
        <item x="0"/>
        <item x="1"/>
        <item x="5"/>
        <item x="21"/>
        <item x="18"/>
        <item x="7"/>
        <item x="15"/>
        <item x="22"/>
        <item x="19"/>
        <item x="4"/>
        <item x="16"/>
        <item x="14"/>
        <item x="8"/>
        <item x="11"/>
        <item x="2"/>
        <item x="24"/>
        <item x="28"/>
        <item x="27"/>
        <item x="25"/>
        <item x="26"/>
        <item t="default"/>
      </items>
    </pivotField>
    <pivotField showAll="0">
      <items count="7">
        <item h="1" x="2"/>
        <item h="1" x="5"/>
        <item h="1" x="3"/>
        <item h="1" x="4"/>
        <item x="1"/>
        <item h="1" x="0"/>
        <item t="default"/>
      </items>
    </pivotField>
    <pivotField showAll="0"/>
    <pivotField showAll="0"/>
    <pivotField axis="axisPage" multipleItemSelectionAllowed="1" showAll="0">
      <items count="9">
        <item x="6"/>
        <item x="1"/>
        <item x="5"/>
        <item x="2"/>
        <item x="0"/>
        <item x="7"/>
        <item x="4"/>
        <item x="3"/>
        <item t="default"/>
      </items>
    </pivotField>
    <pivotField dataField="1" showAll="0"/>
    <pivotField showAll="0"/>
    <pivotField showAll="0"/>
    <pivotField showAll="0"/>
    <pivotField showAll="0"/>
    <pivotField showAll="0">
      <items count="88">
        <item x="86"/>
        <item x="13"/>
        <item x="18"/>
        <item x="0"/>
        <item x="1"/>
        <item x="10"/>
        <item x="9"/>
        <item x="2"/>
        <item x="50"/>
        <item x="7"/>
        <item x="19"/>
        <item x="22"/>
        <item x="5"/>
        <item x="15"/>
        <item x="36"/>
        <item x="16"/>
        <item x="11"/>
        <item x="38"/>
        <item x="47"/>
        <item x="30"/>
        <item x="75"/>
        <item x="23"/>
        <item x="57"/>
        <item x="72"/>
        <item x="26"/>
        <item x="67"/>
        <item x="31"/>
        <item x="17"/>
        <item x="80"/>
        <item x="69"/>
        <item x="6"/>
        <item x="3"/>
        <item x="40"/>
        <item x="8"/>
        <item x="21"/>
        <item x="39"/>
        <item x="29"/>
        <item x="41"/>
        <item x="49"/>
        <item x="43"/>
        <item x="52"/>
        <item x="14"/>
        <item x="64"/>
        <item x="53"/>
        <item x="74"/>
        <item x="27"/>
        <item x="24"/>
        <item x="35"/>
        <item x="59"/>
        <item x="61"/>
        <item x="28"/>
        <item x="46"/>
        <item x="4"/>
        <item x="33"/>
        <item x="56"/>
        <item x="70"/>
        <item x="37"/>
        <item x="44"/>
        <item x="60"/>
        <item x="76"/>
        <item x="54"/>
        <item x="79"/>
        <item x="82"/>
        <item x="48"/>
        <item x="71"/>
        <item x="65"/>
        <item x="20"/>
        <item x="85"/>
        <item x="77"/>
        <item x="83"/>
        <item x="58"/>
        <item x="68"/>
        <item x="12"/>
        <item x="81"/>
        <item x="25"/>
        <item x="51"/>
        <item x="62"/>
        <item x="63"/>
        <item x="73"/>
        <item x="32"/>
        <item x="84"/>
        <item x="42"/>
        <item x="34"/>
        <item x="45"/>
        <item x="55"/>
        <item x="66"/>
        <item x="78"/>
        <item t="default"/>
      </items>
    </pivotField>
    <pivotField showAll="0"/>
  </pivotFields>
  <rowFields count="1">
    <field x="3"/>
  </rowFields>
  <rowItems count="6">
    <i>
      <x v="8"/>
    </i>
    <i>
      <x v="10"/>
    </i>
    <i>
      <x v="19"/>
    </i>
    <i>
      <x v="21"/>
    </i>
    <i>
      <x v="22"/>
    </i>
    <i t="grand">
      <x/>
    </i>
  </rowItems>
  <colItems count="1">
    <i/>
  </colItems>
  <pageFields count="1">
    <pageField fld="7" hier="-1"/>
  </pageFields>
  <dataFields count="1">
    <dataField name=" Quantity by Customer" fld="8" baseField="3" baseItem="21"/>
  </dataFields>
  <chartFormats count="1">
    <chartFormat chart="21" format="9" series="1">
      <pivotArea type="data" outline="0" fieldPosition="0">
        <references count="1">
          <reference field="4294967294" count="1" selected="0">
            <x v="0"/>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rowHeaderCaption="Product_Name">
  <location ref="D5:E11" firstHeaderRow="1" firstDataRow="1" firstDataCol="1"/>
  <pivotFields count="15">
    <pivotField showAll="0"/>
    <pivotField numFmtId="14" showAll="0"/>
    <pivotField numFmtId="14" showAll="0"/>
    <pivotField showAll="0"/>
    <pivotField multipleItemSelectionAllowed="1" showAll="0">
      <items count="7">
        <item h="1" x="2"/>
        <item h="1" x="5"/>
        <item h="1" x="3"/>
        <item h="1" x="4"/>
        <item x="1"/>
        <item h="1" x="0"/>
        <item t="default"/>
      </items>
    </pivotField>
    <pivotField showAll="0"/>
    <pivotField showAll="0"/>
    <pivotField axis="axisRow" showAll="0" measureFilter="1" sortType="descending">
      <items count="9">
        <item x="3"/>
        <item x="4"/>
        <item x="7"/>
        <item x="0"/>
        <item x="2"/>
        <item x="5"/>
        <item x="1"/>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s>
  <rowFields count="1">
    <field x="7"/>
  </rowFields>
  <rowItems count="6">
    <i>
      <x v="1"/>
    </i>
    <i>
      <x v="3"/>
    </i>
    <i>
      <x v="7"/>
    </i>
    <i>
      <x v="5"/>
    </i>
    <i>
      <x v="6"/>
    </i>
    <i t="grand">
      <x/>
    </i>
  </rowItems>
  <colItems count="1">
    <i/>
  </colItems>
  <dataFields count="1">
    <dataField name="Total Sales" fld="13" baseField="0" baseItem="0"/>
  </dataFields>
  <chartFormats count="8">
    <chartFormat chart="6" format="14" series="1">
      <pivotArea type="data" outline="0" fieldPosition="0">
        <references count="1">
          <reference field="4294967294" count="1" selected="0">
            <x v="0"/>
          </reference>
        </references>
      </pivotArea>
    </chartFormat>
    <chartFormat chart="6" format="14" series="1">
      <pivotArea type="data" outline="0" fieldPosition="0">
        <references count="1">
          <reference field="4294967294" count="1" selected="0">
            <x v="0"/>
          </reference>
        </references>
      </pivotArea>
    </chartFormat>
    <chartFormat chart="6" format="15">
      <pivotArea type="data" outline="0" fieldPosition="0">
        <references count="2">
          <reference field="4294967294" count="1" selected="0">
            <x v="0"/>
          </reference>
          <reference field="7" count="1" selected="0">
            <x v="1"/>
          </reference>
        </references>
      </pivotArea>
    </chartFormat>
    <chartFormat chart="6" format="16">
      <pivotArea type="data" outline="0" fieldPosition="0">
        <references count="2">
          <reference field="4294967294" count="1" selected="0">
            <x v="0"/>
          </reference>
          <reference field="7" count="1" selected="0">
            <x v="4"/>
          </reference>
        </references>
      </pivotArea>
    </chartFormat>
    <chartFormat chart="6" format="17">
      <pivotArea type="data" outline="0" fieldPosition="0">
        <references count="2">
          <reference field="4294967294" count="1" selected="0">
            <x v="0"/>
          </reference>
          <reference field="7" count="1" selected="0">
            <x v="7"/>
          </reference>
        </references>
      </pivotArea>
    </chartFormat>
    <chartFormat chart="6" format="18">
      <pivotArea type="data" outline="0" fieldPosition="0">
        <references count="2">
          <reference field="4294967294" count="1" selected="0">
            <x v="0"/>
          </reference>
          <reference field="7" count="1" selected="0">
            <x v="3"/>
          </reference>
        </references>
      </pivotArea>
    </chartFormat>
    <chartFormat chart="6" format="19">
      <pivotArea type="data" outline="0" fieldPosition="0">
        <references count="2">
          <reference field="4294967294" count="1" selected="0">
            <x v="0"/>
          </reference>
          <reference field="7" count="1" selected="0">
            <x v="6"/>
          </reference>
        </references>
      </pivotArea>
    </chartFormat>
    <chartFormat chart="6" format="20">
      <pivotArea type="data" outline="0" fieldPosition="0">
        <references count="2">
          <reference field="4294967294" count="1" selected="0">
            <x v="0"/>
          </reference>
          <reference field="7" count="1" selected="0">
            <x v="5"/>
          </reference>
        </references>
      </pivotArea>
    </chartFormat>
  </chartFormats>
  <pivotTableStyleInfo name="PivotStyleMedium15"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rowHeaderCaption="Product_Category_Name">
  <location ref="J5:K10" firstHeaderRow="1" firstDataRow="1" firstDataCol="1"/>
  <pivotFields count="15">
    <pivotField showAll="0"/>
    <pivotField numFmtId="14" showAll="0"/>
    <pivotField numFmtId="14" showAll="0"/>
    <pivotField showAll="0"/>
    <pivotField showAll="0">
      <items count="7">
        <item h="1" x="2"/>
        <item h="1" x="5"/>
        <item h="1" x="3"/>
        <item h="1" x="4"/>
        <item x="1"/>
        <item h="1" x="0"/>
        <item t="default"/>
      </items>
    </pivotField>
    <pivotField showAll="0"/>
    <pivotField axis="axisRow" showAll="0" measureFilter="1">
      <items count="9">
        <item x="2"/>
        <item x="0"/>
        <item x="7"/>
        <item x="5"/>
        <item x="4"/>
        <item x="3"/>
        <item x="1"/>
        <item x="6"/>
        <item t="default"/>
      </items>
    </pivotField>
    <pivotField showAll="0">
      <items count="9">
        <item x="6"/>
        <item x="1"/>
        <item x="5"/>
        <item x="2"/>
        <item x="0"/>
        <item x="7"/>
        <item x="4"/>
        <item x="3"/>
        <item t="default"/>
      </items>
    </pivotField>
    <pivotField showAll="0"/>
    <pivotField showAll="0"/>
    <pivotField showAll="0"/>
    <pivotField showAll="0"/>
    <pivotField showAll="0"/>
    <pivotField dataField="1" showAll="0"/>
    <pivotField showAll="0"/>
  </pivotFields>
  <rowFields count="1">
    <field x="6"/>
  </rowFields>
  <rowItems count="5">
    <i>
      <x v="1"/>
    </i>
    <i>
      <x v="4"/>
    </i>
    <i>
      <x v="6"/>
    </i>
    <i>
      <x v="7"/>
    </i>
    <i t="grand">
      <x/>
    </i>
  </rowItems>
  <colItems count="1">
    <i/>
  </colItems>
  <dataFields count="1">
    <dataField name="Sum of Selling price" fld="13" baseField="0" baseItem="0"/>
  </dataFields>
  <pivotTableStyleInfo name="PivotStyleMedium15" showRowHeaders="1" showColHeaders="1" showRowStripes="0" showColStripes="0" showLastColumn="1"/>
  <filters count="1">
    <filter fld="6"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1" rowHeaderCaption="Customer_Name">
  <location ref="A5:B11" firstHeaderRow="1" firstDataRow="1" firstDataCol="1" rowPageCount="1" colPageCount="1"/>
  <pivotFields count="15">
    <pivotField showAll="0"/>
    <pivotField numFmtId="14" showAll="0"/>
    <pivotField numFmtId="14" showAll="0"/>
    <pivotField axis="axisRow" showAll="0" measureFilter="1" sortType="descending">
      <items count="30">
        <item x="10"/>
        <item x="17"/>
        <item x="3"/>
        <item x="9"/>
        <item x="23"/>
        <item x="12"/>
        <item x="6"/>
        <item x="13"/>
        <item x="20"/>
        <item x="0"/>
        <item x="1"/>
        <item x="5"/>
        <item x="21"/>
        <item x="18"/>
        <item x="7"/>
        <item x="15"/>
        <item x="22"/>
        <item x="19"/>
        <item x="4"/>
        <item x="16"/>
        <item x="14"/>
        <item x="8"/>
        <item x="11"/>
        <item x="2"/>
        <item x="24"/>
        <item x="28"/>
        <item x="27"/>
        <item x="25"/>
        <item x="26"/>
        <item t="default"/>
      </items>
      <autoSortScope>
        <pivotArea dataOnly="0" outline="0" fieldPosition="0">
          <references count="1">
            <reference field="4294967294" count="1" selected="0">
              <x v="0"/>
            </reference>
          </references>
        </pivotArea>
      </autoSortScope>
    </pivotField>
    <pivotField showAll="0">
      <items count="7">
        <item h="1" x="2"/>
        <item h="1" x="5"/>
        <item h="1" x="3"/>
        <item h="1" x="4"/>
        <item x="1"/>
        <item h="1" x="0"/>
        <item t="default"/>
      </items>
    </pivotField>
    <pivotField showAll="0"/>
    <pivotField showAll="0"/>
    <pivotField axis="axisPage" multipleItemSelectionAllowed="1" showAll="0">
      <items count="9">
        <item x="6"/>
        <item x="1"/>
        <item x="5"/>
        <item x="2"/>
        <item x="0"/>
        <item x="7"/>
        <item x="4"/>
        <item x="3"/>
        <item t="default"/>
      </items>
    </pivotField>
    <pivotField showAll="0"/>
    <pivotField showAll="0"/>
    <pivotField showAll="0"/>
    <pivotField showAll="0"/>
    <pivotField showAll="0"/>
    <pivotField dataField="1" showAll="0">
      <items count="88">
        <item x="86"/>
        <item x="13"/>
        <item x="18"/>
        <item x="0"/>
        <item x="1"/>
        <item x="10"/>
        <item x="9"/>
        <item x="2"/>
        <item x="50"/>
        <item x="7"/>
        <item x="19"/>
        <item x="22"/>
        <item x="5"/>
        <item x="15"/>
        <item x="36"/>
        <item x="16"/>
        <item x="11"/>
        <item x="38"/>
        <item x="47"/>
        <item x="30"/>
        <item x="75"/>
        <item x="23"/>
        <item x="57"/>
        <item x="72"/>
        <item x="26"/>
        <item x="67"/>
        <item x="31"/>
        <item x="17"/>
        <item x="80"/>
        <item x="69"/>
        <item x="6"/>
        <item x="3"/>
        <item x="40"/>
        <item x="8"/>
        <item x="21"/>
        <item x="39"/>
        <item x="29"/>
        <item x="41"/>
        <item x="49"/>
        <item x="43"/>
        <item x="52"/>
        <item x="14"/>
        <item x="64"/>
        <item x="53"/>
        <item x="74"/>
        <item x="27"/>
        <item x="24"/>
        <item x="35"/>
        <item x="59"/>
        <item x="61"/>
        <item x="28"/>
        <item x="46"/>
        <item x="4"/>
        <item x="33"/>
        <item x="56"/>
        <item x="70"/>
        <item x="37"/>
        <item x="44"/>
        <item x="60"/>
        <item x="76"/>
        <item x="54"/>
        <item x="79"/>
        <item x="82"/>
        <item x="48"/>
        <item x="71"/>
        <item x="65"/>
        <item x="20"/>
        <item x="85"/>
        <item x="77"/>
        <item x="83"/>
        <item x="58"/>
        <item x="68"/>
        <item x="12"/>
        <item x="81"/>
        <item x="25"/>
        <item x="51"/>
        <item x="62"/>
        <item x="63"/>
        <item x="73"/>
        <item x="32"/>
        <item x="84"/>
        <item x="42"/>
        <item x="34"/>
        <item x="45"/>
        <item x="55"/>
        <item x="66"/>
        <item x="78"/>
        <item t="default"/>
      </items>
    </pivotField>
    <pivotField showAll="0"/>
  </pivotFields>
  <rowFields count="1">
    <field x="3"/>
  </rowFields>
  <rowItems count="6">
    <i>
      <x v="19"/>
    </i>
    <i>
      <x v="21"/>
    </i>
    <i>
      <x v="22"/>
    </i>
    <i>
      <x v="10"/>
    </i>
    <i>
      <x v="8"/>
    </i>
    <i t="grand">
      <x/>
    </i>
  </rowItems>
  <colItems count="1">
    <i/>
  </colItems>
  <pageFields count="1">
    <pageField fld="7" hier="-1"/>
  </pageFields>
  <dataFields count="1">
    <dataField name="Total Sales" fld="13" baseField="0" baseItem="0"/>
  </dataFields>
  <chartFormats count="1">
    <chartFormat chart="20" format="7" series="1">
      <pivotArea type="data" outline="0" fieldPosition="0">
        <references count="1">
          <reference field="4294967294" count="1" selected="0">
            <x v="0"/>
          </reference>
        </references>
      </pivotArea>
    </chartFormat>
  </chartFormats>
  <pivotTableStyleInfo name="PivotStyleMedium15"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rowHeaderCaption="Product_Name">
  <location ref="G5:H11" firstHeaderRow="1" firstDataRow="1" firstDataCol="1"/>
  <pivotFields count="15">
    <pivotField showAll="0"/>
    <pivotField numFmtId="14" showAll="0"/>
    <pivotField numFmtId="14" showAll="0"/>
    <pivotField showAll="0"/>
    <pivotField showAll="0">
      <items count="7">
        <item h="1" x="2"/>
        <item h="1" x="5"/>
        <item h="1" x="3"/>
        <item h="1" x="4"/>
        <item x="1"/>
        <item h="1" x="0"/>
        <item t="default"/>
      </items>
    </pivotField>
    <pivotField showAll="0"/>
    <pivotField showAll="0"/>
    <pivotField axis="axisRow" showAll="0" measureFilter="1" sortType="descending">
      <items count="9">
        <item x="6"/>
        <item x="1"/>
        <item x="5"/>
        <item x="2"/>
        <item x="0"/>
        <item x="7"/>
        <item x="4"/>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s>
  <rowFields count="1">
    <field x="7"/>
  </rowFields>
  <rowItems count="6">
    <i>
      <x v="6"/>
    </i>
    <i>
      <x v="4"/>
    </i>
    <i>
      <x v="2"/>
    </i>
    <i>
      <x/>
    </i>
    <i>
      <x v="1"/>
    </i>
    <i t="grand">
      <x/>
    </i>
  </rowItems>
  <colItems count="1">
    <i/>
  </colItems>
  <dataFields count="1">
    <dataField name="Sum of Profit Amount" fld="14" baseField="0" baseItem="0"/>
  </dataFields>
  <chartFormats count="1">
    <chartFormat chart="0" format="2" series="1">
      <pivotArea type="data" outline="0" fieldPosition="0">
        <references count="1">
          <reference field="4294967294" count="1" selected="0">
            <x v="0"/>
          </reference>
        </references>
      </pivotArea>
    </chartFormat>
  </chartFormats>
  <pivotTableStyleInfo name="PivotStyleMedium15"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ity" sourceName="City">
  <pivotTables>
    <pivotTable tabId="3" name="PivotTable2"/>
    <pivotTable tabId="3" name="PivotTable1"/>
    <pivotTable tabId="3" name="PivotTable3"/>
    <pivotTable tabId="3" name="PivotTable5"/>
  </pivotTables>
  <data>
    <tabular pivotCacheId="1">
      <items count="6">
        <i x="2"/>
        <i x="5"/>
        <i x="3"/>
        <i x="4"/>
        <i x="1" s="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ity1" sourceName="City">
  <pivotTables>
    <pivotTable tabId="5" name="PivotTable2"/>
    <pivotTable tabId="5" name="PivotTable1"/>
    <pivotTable tabId="5" name="PivotTable3"/>
    <pivotTable tabId="5" name="PivotTable5"/>
  </pivotTables>
  <data>
    <tabular pivotCacheId="1">
      <items count="6">
        <i x="2"/>
        <i x="5"/>
        <i x="3"/>
        <i x="4"/>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ity 1" cache="Slicer_City1" caption="City" columnCount="6" style="SlicerStyleOther2" rowHeight="274320"/>
</slicers>
</file>

<file path=xl/slicers/slicer2.xml><?xml version="1.0" encoding="utf-8"?>
<slicers xmlns="http://schemas.microsoft.com/office/spreadsheetml/2009/9/main" xmlns:mc="http://schemas.openxmlformats.org/markup-compatibility/2006" xmlns:x="http://schemas.openxmlformats.org/spreadsheetml/2006/main" mc:Ignorable="x">
  <slicer name="City" cache="Slicer_City" caption="City" columnCount="6" style="SlicerStyleOther2" rowHeight="274320"/>
</slicers>
</file>

<file path=xl/tables/table1.xml><?xml version="1.0" encoding="utf-8"?>
<table xmlns="http://schemas.openxmlformats.org/spreadsheetml/2006/main" id="4" name="BlinkitData" displayName="BlinkitData" ref="A4:O204" totalsRowShown="0" dataDxfId="16" tableBorderDxfId="15">
  <autoFilter ref="A4:O204"/>
  <tableColumns count="15">
    <tableColumn id="1" name="Order_ID" dataDxfId="14"/>
    <tableColumn id="2" name="Order_Date" dataDxfId="13"/>
    <tableColumn id="3" name="Delivery_Date" dataDxfId="12"/>
    <tableColumn id="4" name="Customer_Name" dataDxfId="11"/>
    <tableColumn id="5" name="City" dataDxfId="10"/>
    <tableColumn id="6" name="Area" dataDxfId="9"/>
    <tableColumn id="7" name="Product_Category" dataDxfId="8"/>
    <tableColumn id="8" name="Product_Name" dataDxfId="7"/>
    <tableColumn id="9" name="Quantity" dataDxfId="6"/>
    <tableColumn id="10" name="Unit_Price" dataDxfId="5">
      <calculatedColumnFormula>IF(H5="Milk",30,IF(H5="Chips",20,IF(H5="Juice",110,IF(H5="Shampoo",180,IF(H5="Rice",950,IF(H5="Cookies",30,IF(H5="Apple",120,IF(H5="Tomato",40,IF(H5="Nuggets",220,0)))))))))</calculatedColumnFormula>
    </tableColumn>
    <tableColumn id="11" name="Acutal_value" dataDxfId="4">
      <calculatedColumnFormula>J5*I5</calculatedColumnFormula>
    </tableColumn>
    <tableColumn id="12" name="Payment_Mode" dataDxfId="3"/>
    <tableColumn id="13" name="Product_price" dataDxfId="2">
      <calculatedColumnFormula>IF(H5="Milk",35,IF(H5="Chips",25,IF(H5="Juice",120,IF(H5="Shampoo",200,IF(H5="Rice",1000,IF(H5="Cookies",40,IF(H5="Apple",130,IF(H5="Tomato",50,IF(H5="Nuggets",230,0)))))))))</calculatedColumnFormula>
    </tableColumn>
    <tableColumn id="14" name="Selling price" dataDxfId="1">
      <calculatedColumnFormula>M5*I5</calculatedColumnFormula>
    </tableColumn>
    <tableColumn id="15" name="Profit" dataDxfId="0">
      <calculatedColumnFormula>N5-K5</calculatedColumnFormula>
    </tableColumn>
  </tableColumns>
  <tableStyleInfo name="TableStyleMedium22" showFirstColumn="0" showLastColumn="0" showRowStripes="1" showColumnStripes="0"/>
</table>
</file>

<file path=xl/theme/theme1.xml><?xml version="1.0" encoding="utf-8"?>
<a:theme xmlns:a="http://schemas.openxmlformats.org/drawingml/2006/main" name="Office Theme">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7.xml"/><Relationship Id="rId7" Type="http://schemas.microsoft.com/office/2007/relationships/slicer" Target="../slicers/slicer2.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drawing" Target="../drawings/drawing3.xml"/><Relationship Id="rId5" Type="http://schemas.openxmlformats.org/officeDocument/2006/relationships/printerSettings" Target="../printerSettings/printerSettings4.bin"/><Relationship Id="rId4"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2"/>
  <sheetViews>
    <sheetView showGridLines="0" tabSelected="1" zoomScale="95" zoomScaleNormal="95" workbookViewId="0">
      <selection activeCell="L9" sqref="L9"/>
    </sheetView>
  </sheetViews>
  <sheetFormatPr defaultRowHeight="15"/>
  <cols>
    <col min="1" max="1" width="19" bestFit="1" customWidth="1"/>
    <col min="2" max="2" width="22.140625" customWidth="1"/>
    <col min="3" max="3" width="6.140625" customWidth="1"/>
    <col min="4" max="4" width="17.140625" customWidth="1"/>
    <col min="5" max="5" width="19.140625" customWidth="1"/>
    <col min="6" max="6" width="8.85546875" customWidth="1"/>
    <col min="7" max="7" width="17.140625" customWidth="1"/>
    <col min="8" max="8" width="15.85546875" customWidth="1"/>
    <col min="9" max="9" width="10.7109375" customWidth="1"/>
    <col min="10" max="10" width="26.140625" customWidth="1"/>
    <col min="11" max="11" width="21.28515625" customWidth="1"/>
    <col min="12" max="12" width="12.5703125" customWidth="1"/>
    <col min="13" max="30" width="16.28515625" bestFit="1" customWidth="1"/>
    <col min="31" max="31" width="11.28515625" bestFit="1" customWidth="1"/>
  </cols>
  <sheetData>
    <row r="1" spans="1:13" ht="32.25" customHeight="1">
      <c r="B1" s="42" t="s">
        <v>311</v>
      </c>
      <c r="C1" s="43"/>
      <c r="D1" s="43"/>
      <c r="E1" s="43"/>
      <c r="F1" s="43"/>
      <c r="G1" s="43"/>
      <c r="H1" s="43"/>
      <c r="I1" s="43"/>
      <c r="J1" s="43"/>
      <c r="K1" s="43"/>
      <c r="L1" s="43"/>
      <c r="M1" s="43"/>
    </row>
    <row r="2" spans="1:13" ht="50.25" customHeight="1">
      <c r="B2" s="9"/>
      <c r="C2" s="9"/>
      <c r="D2" s="9"/>
      <c r="E2" s="9"/>
      <c r="F2" s="9"/>
      <c r="G2" s="9"/>
      <c r="H2" s="9"/>
      <c r="I2" s="9"/>
      <c r="J2" s="9"/>
      <c r="K2" s="9"/>
      <c r="L2" s="9"/>
      <c r="M2" s="9"/>
    </row>
    <row r="3" spans="1:13" ht="20.25" customHeight="1">
      <c r="A3" s="1" t="s">
        <v>7</v>
      </c>
      <c r="B3" t="s">
        <v>302</v>
      </c>
    </row>
    <row r="4" spans="1:13" ht="82.5" hidden="1" customHeight="1"/>
    <row r="5" spans="1:13">
      <c r="A5" s="1" t="s">
        <v>3</v>
      </c>
      <c r="B5" t="s">
        <v>304</v>
      </c>
      <c r="D5" s="1" t="s">
        <v>7</v>
      </c>
      <c r="E5" t="s">
        <v>305</v>
      </c>
      <c r="G5" s="1" t="s">
        <v>7</v>
      </c>
      <c r="H5" t="s">
        <v>306</v>
      </c>
      <c r="J5" s="1" t="s">
        <v>303</v>
      </c>
      <c r="K5" t="s">
        <v>307</v>
      </c>
    </row>
    <row r="6" spans="1:13">
      <c r="A6" s="2" t="s">
        <v>110</v>
      </c>
      <c r="B6" s="3">
        <v>53</v>
      </c>
      <c r="D6" s="2" t="s">
        <v>43</v>
      </c>
      <c r="E6" s="3">
        <v>5</v>
      </c>
      <c r="G6" s="2" t="s">
        <v>57</v>
      </c>
      <c r="H6" s="3">
        <v>300</v>
      </c>
      <c r="J6" s="2" t="s">
        <v>16</v>
      </c>
      <c r="K6" s="3">
        <v>8</v>
      </c>
    </row>
    <row r="7" spans="1:13">
      <c r="A7" s="2" t="s">
        <v>20</v>
      </c>
      <c r="B7" s="3">
        <v>60</v>
      </c>
      <c r="D7" s="2" t="s">
        <v>17</v>
      </c>
      <c r="E7" s="3">
        <v>20</v>
      </c>
      <c r="G7" s="2" t="s">
        <v>24</v>
      </c>
      <c r="H7" s="3">
        <v>100</v>
      </c>
      <c r="J7" s="2" t="s">
        <v>42</v>
      </c>
      <c r="K7" s="3">
        <v>6</v>
      </c>
    </row>
    <row r="8" spans="1:13">
      <c r="A8" s="2" t="s">
        <v>98</v>
      </c>
      <c r="B8" s="3">
        <v>48</v>
      </c>
      <c r="D8" s="2" t="s">
        <v>53</v>
      </c>
      <c r="E8" s="3">
        <v>5</v>
      </c>
      <c r="G8" s="2" t="s">
        <v>53</v>
      </c>
      <c r="H8" s="3">
        <v>400</v>
      </c>
      <c r="J8" s="2" t="s">
        <v>23</v>
      </c>
      <c r="K8" s="3">
        <v>10</v>
      </c>
      <c r="M8" s="8"/>
    </row>
    <row r="9" spans="1:13">
      <c r="A9" s="2" t="s">
        <v>59</v>
      </c>
      <c r="B9" s="3">
        <v>132</v>
      </c>
      <c r="D9" s="2" t="s">
        <v>24</v>
      </c>
      <c r="E9" s="3">
        <v>5</v>
      </c>
      <c r="G9" s="2" t="s">
        <v>17</v>
      </c>
      <c r="H9" s="3">
        <v>960</v>
      </c>
      <c r="J9" s="2" t="s">
        <v>61</v>
      </c>
      <c r="K9" s="3">
        <v>16</v>
      </c>
    </row>
    <row r="10" spans="1:13">
      <c r="A10" s="2" t="s">
        <v>83</v>
      </c>
      <c r="B10" s="3">
        <v>35</v>
      </c>
      <c r="D10" s="2" t="s">
        <v>57</v>
      </c>
      <c r="E10" s="3">
        <v>5</v>
      </c>
      <c r="G10" s="2" t="s">
        <v>43</v>
      </c>
      <c r="H10" s="3">
        <v>2300</v>
      </c>
      <c r="J10" s="2" t="s">
        <v>295</v>
      </c>
      <c r="K10" s="3">
        <v>40</v>
      </c>
    </row>
    <row r="11" spans="1:13">
      <c r="A11" s="2" t="s">
        <v>295</v>
      </c>
      <c r="B11" s="3">
        <v>328</v>
      </c>
      <c r="D11" s="2" t="s">
        <v>295</v>
      </c>
      <c r="E11" s="3">
        <v>40</v>
      </c>
      <c r="G11" s="2" t="s">
        <v>295</v>
      </c>
      <c r="H11" s="3">
        <v>4060</v>
      </c>
    </row>
    <row r="12" spans="1:13" ht="16.5" customHeight="1"/>
  </sheetData>
  <mergeCells count="1">
    <mergeCell ref="B1:M1"/>
  </mergeCells>
  <pageMargins left="0.7" right="0.7" top="0.75" bottom="0.75" header="0.3" footer="0.3"/>
  <pageSetup orientation="portrait" r:id="rId5"/>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06"/>
  <sheetViews>
    <sheetView zoomScale="60" zoomScaleNormal="60" workbookViewId="0">
      <selection activeCell="A5" sqref="A5"/>
    </sheetView>
  </sheetViews>
  <sheetFormatPr defaultRowHeight="15"/>
  <cols>
    <col min="1" max="1" width="16.85546875" style="4" bestFit="1" customWidth="1"/>
    <col min="2" max="2" width="20.42578125" style="4" bestFit="1" customWidth="1"/>
    <col min="3" max="3" width="23.28515625" style="4" bestFit="1" customWidth="1"/>
    <col min="4" max="4" width="28" style="4" bestFit="1" customWidth="1"/>
    <col min="5" max="5" width="12" style="4" bestFit="1" customWidth="1"/>
    <col min="6" max="6" width="18.42578125" style="4" bestFit="1" customWidth="1"/>
    <col min="7" max="7" width="29.42578125" style="4" bestFit="1" customWidth="1"/>
    <col min="8" max="8" width="24.85546875" style="4" bestFit="1" customWidth="1"/>
    <col min="9" max="9" width="16.140625" style="4" bestFit="1" customWidth="1"/>
    <col min="10" max="10" width="18.42578125" style="30" bestFit="1" customWidth="1"/>
    <col min="11" max="11" width="22" style="30" bestFit="1" customWidth="1"/>
    <col min="12" max="12" width="26.140625" style="4" bestFit="1" customWidth="1"/>
    <col min="13" max="13" width="24" style="26" bestFit="1" customWidth="1"/>
    <col min="14" max="14" width="21.85546875" style="30" bestFit="1" customWidth="1"/>
    <col min="15" max="15" width="12.5703125" style="30" bestFit="1" customWidth="1"/>
    <col min="16" max="16" width="19.5703125" style="4" customWidth="1"/>
    <col min="17" max="17" width="14.42578125" style="4" customWidth="1"/>
    <col min="18" max="16384" width="9.140625" style="4"/>
  </cols>
  <sheetData>
    <row r="1" spans="1:15">
      <c r="A1" s="44" t="s">
        <v>310</v>
      </c>
      <c r="B1" s="45"/>
      <c r="C1" s="45"/>
      <c r="D1" s="45"/>
      <c r="E1" s="45"/>
      <c r="F1" s="45"/>
      <c r="G1" s="45"/>
      <c r="H1" s="45"/>
      <c r="I1" s="45"/>
      <c r="J1" s="45"/>
      <c r="K1" s="45"/>
      <c r="L1" s="45"/>
      <c r="M1" s="45"/>
      <c r="N1" s="45"/>
      <c r="O1" s="45"/>
    </row>
    <row r="2" spans="1:15">
      <c r="A2" s="45"/>
      <c r="B2" s="45"/>
      <c r="C2" s="45"/>
      <c r="D2" s="45"/>
      <c r="E2" s="45"/>
      <c r="F2" s="45"/>
      <c r="G2" s="45"/>
      <c r="H2" s="45"/>
      <c r="I2" s="45"/>
      <c r="J2" s="45"/>
      <c r="K2" s="45"/>
      <c r="L2" s="45"/>
      <c r="M2" s="45"/>
      <c r="N2" s="45"/>
      <c r="O2" s="45"/>
    </row>
    <row r="3" spans="1:15">
      <c r="A3" s="45"/>
      <c r="B3" s="45"/>
      <c r="C3" s="45"/>
      <c r="D3" s="45"/>
      <c r="E3" s="45"/>
      <c r="F3" s="45"/>
      <c r="G3" s="45"/>
      <c r="H3" s="45"/>
      <c r="I3" s="45"/>
      <c r="J3" s="45"/>
      <c r="K3" s="45"/>
      <c r="L3" s="45"/>
      <c r="M3" s="45"/>
      <c r="N3" s="45"/>
      <c r="O3" s="45"/>
    </row>
    <row r="4" spans="1:15" s="10" customFormat="1" ht="18">
      <c r="A4" s="11" t="s">
        <v>0</v>
      </c>
      <c r="B4" s="12" t="s">
        <v>1</v>
      </c>
      <c r="C4" s="12" t="s">
        <v>2</v>
      </c>
      <c r="D4" s="12" t="s">
        <v>3</v>
      </c>
      <c r="E4" s="12" t="s">
        <v>4</v>
      </c>
      <c r="F4" s="12" t="s">
        <v>5</v>
      </c>
      <c r="G4" s="12" t="s">
        <v>6</v>
      </c>
      <c r="H4" s="12" t="s">
        <v>7</v>
      </c>
      <c r="I4" s="12" t="s">
        <v>8</v>
      </c>
      <c r="J4" s="27" t="s">
        <v>9</v>
      </c>
      <c r="K4" s="31" t="s">
        <v>140</v>
      </c>
      <c r="L4" s="12" t="s">
        <v>10</v>
      </c>
      <c r="M4" s="23" t="s">
        <v>297</v>
      </c>
      <c r="N4" s="31" t="s">
        <v>139</v>
      </c>
      <c r="O4" s="31" t="s">
        <v>11</v>
      </c>
    </row>
    <row r="5" spans="1:15">
      <c r="A5" s="17" t="s">
        <v>12</v>
      </c>
      <c r="B5" s="18">
        <v>46023</v>
      </c>
      <c r="C5" s="18">
        <v>46023</v>
      </c>
      <c r="D5" s="19" t="s">
        <v>13</v>
      </c>
      <c r="E5" s="19" t="s">
        <v>14</v>
      </c>
      <c r="F5" s="19" t="s">
        <v>15</v>
      </c>
      <c r="G5" s="19" t="s">
        <v>16</v>
      </c>
      <c r="H5" s="19" t="s">
        <v>17</v>
      </c>
      <c r="I5" s="19">
        <v>2</v>
      </c>
      <c r="J5" s="28">
        <f t="shared" ref="J5:J36" si="0">IF(H5="Milk",30,IF(H5="Chips",20,IF(H5="Juice",110,IF(H5="Shampoo",180,IF(H5="Rice",950,IF(H5="Cookies",30,IF(H5="Apple",120,IF(H5="Tomato",40,IF(H5="Nuggets",220,0)))))))))</f>
        <v>30</v>
      </c>
      <c r="K5" s="28">
        <f t="shared" ref="K5:K36" si="1">J5*I5</f>
        <v>60</v>
      </c>
      <c r="L5" s="19" t="s">
        <v>18</v>
      </c>
      <c r="M5" s="24">
        <f t="shared" ref="M5:M36" si="2">IF(H5="Milk",35,IF(H5="Chips",25,IF(H5="Juice",120,IF(H5="Shampoo",200,IF(H5="Rice",1000,IF(H5="Cookies",40,IF(H5="Apple",130,IF(H5="Tomato",50,IF(H5="Nuggets",230,0)))))))))</f>
        <v>35</v>
      </c>
      <c r="N5" s="28">
        <f t="shared" ref="N5:N36" si="3">M5*I5</f>
        <v>70</v>
      </c>
      <c r="O5" s="28">
        <f t="shared" ref="O5:O36" si="4">N5-K5</f>
        <v>10</v>
      </c>
    </row>
    <row r="6" spans="1:15">
      <c r="A6" s="20" t="s">
        <v>19</v>
      </c>
      <c r="B6" s="21">
        <v>46023</v>
      </c>
      <c r="C6" s="21">
        <v>46024</v>
      </c>
      <c r="D6" s="22" t="s">
        <v>20</v>
      </c>
      <c r="E6" s="22" t="s">
        <v>21</v>
      </c>
      <c r="F6" s="22" t="s">
        <v>22</v>
      </c>
      <c r="G6" s="22" t="s">
        <v>23</v>
      </c>
      <c r="H6" s="22" t="s">
        <v>24</v>
      </c>
      <c r="I6" s="22">
        <v>3</v>
      </c>
      <c r="J6" s="29">
        <f t="shared" si="0"/>
        <v>20</v>
      </c>
      <c r="K6" s="29">
        <f t="shared" si="1"/>
        <v>60</v>
      </c>
      <c r="L6" s="22" t="s">
        <v>25</v>
      </c>
      <c r="M6" s="25">
        <f t="shared" si="2"/>
        <v>25</v>
      </c>
      <c r="N6" s="29">
        <f t="shared" si="3"/>
        <v>75</v>
      </c>
      <c r="O6" s="29">
        <f t="shared" si="4"/>
        <v>15</v>
      </c>
    </row>
    <row r="7" spans="1:15">
      <c r="A7" s="17" t="s">
        <v>26</v>
      </c>
      <c r="B7" s="18">
        <v>46024</v>
      </c>
      <c r="C7" s="18">
        <v>46024</v>
      </c>
      <c r="D7" s="19" t="s">
        <v>27</v>
      </c>
      <c r="E7" s="19" t="s">
        <v>28</v>
      </c>
      <c r="F7" s="19" t="s">
        <v>29</v>
      </c>
      <c r="G7" s="19" t="s">
        <v>30</v>
      </c>
      <c r="H7" s="19" t="s">
        <v>31</v>
      </c>
      <c r="I7" s="19">
        <v>1</v>
      </c>
      <c r="J7" s="28">
        <f t="shared" si="0"/>
        <v>110</v>
      </c>
      <c r="K7" s="28">
        <f t="shared" si="1"/>
        <v>110</v>
      </c>
      <c r="L7" s="19" t="s">
        <v>32</v>
      </c>
      <c r="M7" s="24">
        <f t="shared" si="2"/>
        <v>120</v>
      </c>
      <c r="N7" s="28">
        <f t="shared" si="3"/>
        <v>120</v>
      </c>
      <c r="O7" s="28">
        <f t="shared" si="4"/>
        <v>10</v>
      </c>
    </row>
    <row r="8" spans="1:15">
      <c r="A8" s="20" t="s">
        <v>33</v>
      </c>
      <c r="B8" s="21">
        <v>46024</v>
      </c>
      <c r="C8" s="21">
        <v>46025</v>
      </c>
      <c r="D8" s="22" t="s">
        <v>34</v>
      </c>
      <c r="E8" s="22" t="s">
        <v>14</v>
      </c>
      <c r="F8" s="22" t="s">
        <v>35</v>
      </c>
      <c r="G8" s="22" t="s">
        <v>36</v>
      </c>
      <c r="H8" s="22" t="s">
        <v>37</v>
      </c>
      <c r="I8" s="22">
        <v>2</v>
      </c>
      <c r="J8" s="29">
        <f t="shared" si="0"/>
        <v>180</v>
      </c>
      <c r="K8" s="29">
        <f t="shared" si="1"/>
        <v>360</v>
      </c>
      <c r="L8" s="22" t="s">
        <v>18</v>
      </c>
      <c r="M8" s="25">
        <f t="shared" si="2"/>
        <v>200</v>
      </c>
      <c r="N8" s="29">
        <f t="shared" si="3"/>
        <v>400</v>
      </c>
      <c r="O8" s="29">
        <f t="shared" si="4"/>
        <v>40</v>
      </c>
    </row>
    <row r="9" spans="1:15">
      <c r="A9" s="17" t="s">
        <v>38</v>
      </c>
      <c r="B9" s="18">
        <v>46025</v>
      </c>
      <c r="C9" s="18">
        <v>46025</v>
      </c>
      <c r="D9" s="19" t="s">
        <v>39</v>
      </c>
      <c r="E9" s="19" t="s">
        <v>40</v>
      </c>
      <c r="F9" s="19" t="s">
        <v>41</v>
      </c>
      <c r="G9" s="19" t="s">
        <v>42</v>
      </c>
      <c r="H9" s="19" t="s">
        <v>43</v>
      </c>
      <c r="I9" s="19">
        <v>1</v>
      </c>
      <c r="J9" s="28">
        <f t="shared" si="0"/>
        <v>950</v>
      </c>
      <c r="K9" s="28">
        <f t="shared" si="1"/>
        <v>950</v>
      </c>
      <c r="L9" s="19" t="s">
        <v>44</v>
      </c>
      <c r="M9" s="24">
        <f t="shared" si="2"/>
        <v>1000</v>
      </c>
      <c r="N9" s="28">
        <f t="shared" si="3"/>
        <v>1000</v>
      </c>
      <c r="O9" s="28">
        <f t="shared" si="4"/>
        <v>50</v>
      </c>
    </row>
    <row r="10" spans="1:15">
      <c r="A10" s="20" t="s">
        <v>45</v>
      </c>
      <c r="B10" s="21">
        <v>46025</v>
      </c>
      <c r="C10" s="21">
        <v>46026</v>
      </c>
      <c r="D10" s="22" t="s">
        <v>46</v>
      </c>
      <c r="E10" s="22" t="s">
        <v>47</v>
      </c>
      <c r="F10" s="22" t="s">
        <v>48</v>
      </c>
      <c r="G10" s="22" t="s">
        <v>16</v>
      </c>
      <c r="H10" s="22" t="s">
        <v>17</v>
      </c>
      <c r="I10" s="22">
        <v>2</v>
      </c>
      <c r="J10" s="29">
        <f t="shared" si="0"/>
        <v>30</v>
      </c>
      <c r="K10" s="29">
        <f t="shared" si="1"/>
        <v>60</v>
      </c>
      <c r="L10" s="22" t="s">
        <v>25</v>
      </c>
      <c r="M10" s="25">
        <f t="shared" si="2"/>
        <v>35</v>
      </c>
      <c r="N10" s="29">
        <f t="shared" si="3"/>
        <v>70</v>
      </c>
      <c r="O10" s="29">
        <f t="shared" si="4"/>
        <v>10</v>
      </c>
    </row>
    <row r="11" spans="1:15">
      <c r="A11" s="17" t="s">
        <v>49</v>
      </c>
      <c r="B11" s="18">
        <v>46026</v>
      </c>
      <c r="C11" s="18">
        <v>46026</v>
      </c>
      <c r="D11" s="19" t="s">
        <v>50</v>
      </c>
      <c r="E11" s="19" t="s">
        <v>51</v>
      </c>
      <c r="F11" s="19" t="s">
        <v>52</v>
      </c>
      <c r="G11" s="19" t="s">
        <v>23</v>
      </c>
      <c r="H11" s="19" t="s">
        <v>53</v>
      </c>
      <c r="I11" s="19">
        <v>5</v>
      </c>
      <c r="J11" s="28">
        <f t="shared" si="0"/>
        <v>30</v>
      </c>
      <c r="K11" s="28">
        <f t="shared" si="1"/>
        <v>150</v>
      </c>
      <c r="L11" s="19" t="s">
        <v>18</v>
      </c>
      <c r="M11" s="24">
        <f t="shared" si="2"/>
        <v>40</v>
      </c>
      <c r="N11" s="28">
        <f t="shared" si="3"/>
        <v>200</v>
      </c>
      <c r="O11" s="28">
        <f t="shared" si="4"/>
        <v>50</v>
      </c>
    </row>
    <row r="12" spans="1:15">
      <c r="A12" s="20" t="s">
        <v>54</v>
      </c>
      <c r="B12" s="21">
        <v>46026</v>
      </c>
      <c r="C12" s="21">
        <v>46027</v>
      </c>
      <c r="D12" s="22" t="s">
        <v>76</v>
      </c>
      <c r="E12" s="22" t="s">
        <v>14</v>
      </c>
      <c r="F12" s="22" t="s">
        <v>55</v>
      </c>
      <c r="G12" s="22" t="s">
        <v>56</v>
      </c>
      <c r="H12" s="22" t="s">
        <v>57</v>
      </c>
      <c r="I12" s="22">
        <v>3</v>
      </c>
      <c r="J12" s="29">
        <f t="shared" si="0"/>
        <v>120</v>
      </c>
      <c r="K12" s="29">
        <f t="shared" si="1"/>
        <v>360</v>
      </c>
      <c r="L12" s="22" t="s">
        <v>32</v>
      </c>
      <c r="M12" s="25">
        <f t="shared" si="2"/>
        <v>130</v>
      </c>
      <c r="N12" s="29">
        <f t="shared" si="3"/>
        <v>390</v>
      </c>
      <c r="O12" s="29">
        <f t="shared" si="4"/>
        <v>30</v>
      </c>
    </row>
    <row r="13" spans="1:15">
      <c r="A13" s="17" t="s">
        <v>58</v>
      </c>
      <c r="B13" s="18">
        <v>46027</v>
      </c>
      <c r="C13" s="18">
        <v>46027</v>
      </c>
      <c r="D13" s="19" t="s">
        <v>59</v>
      </c>
      <c r="E13" s="19" t="s">
        <v>21</v>
      </c>
      <c r="F13" s="19" t="s">
        <v>60</v>
      </c>
      <c r="G13" s="19" t="s">
        <v>61</v>
      </c>
      <c r="H13" s="19" t="s">
        <v>17</v>
      </c>
      <c r="I13" s="19">
        <v>4</v>
      </c>
      <c r="J13" s="28">
        <f t="shared" si="0"/>
        <v>30</v>
      </c>
      <c r="K13" s="28">
        <f t="shared" si="1"/>
        <v>120</v>
      </c>
      <c r="L13" s="19" t="s">
        <v>18</v>
      </c>
      <c r="M13" s="24">
        <f t="shared" si="2"/>
        <v>35</v>
      </c>
      <c r="N13" s="28">
        <f t="shared" si="3"/>
        <v>140</v>
      </c>
      <c r="O13" s="28">
        <f t="shared" si="4"/>
        <v>20</v>
      </c>
    </row>
    <row r="14" spans="1:15">
      <c r="A14" s="20" t="s">
        <v>62</v>
      </c>
      <c r="B14" s="21">
        <v>46027</v>
      </c>
      <c r="C14" s="21">
        <v>46028</v>
      </c>
      <c r="D14" s="22" t="s">
        <v>63</v>
      </c>
      <c r="E14" s="22" t="s">
        <v>40</v>
      </c>
      <c r="F14" s="22" t="s">
        <v>64</v>
      </c>
      <c r="G14" s="22" t="s">
        <v>65</v>
      </c>
      <c r="H14" s="22" t="s">
        <v>66</v>
      </c>
      <c r="I14" s="22">
        <v>2</v>
      </c>
      <c r="J14" s="29">
        <f t="shared" si="0"/>
        <v>220</v>
      </c>
      <c r="K14" s="29">
        <f t="shared" si="1"/>
        <v>440</v>
      </c>
      <c r="L14" s="22" t="s">
        <v>25</v>
      </c>
      <c r="M14" s="25">
        <f t="shared" si="2"/>
        <v>230</v>
      </c>
      <c r="N14" s="29">
        <f t="shared" si="3"/>
        <v>460</v>
      </c>
      <c r="O14" s="29">
        <f t="shared" si="4"/>
        <v>20</v>
      </c>
    </row>
    <row r="15" spans="1:15">
      <c r="A15" s="17" t="s">
        <v>67</v>
      </c>
      <c r="B15" s="18">
        <v>46028</v>
      </c>
      <c r="C15" s="18">
        <v>46028</v>
      </c>
      <c r="D15" s="19" t="s">
        <v>68</v>
      </c>
      <c r="E15" s="19" t="s">
        <v>14</v>
      </c>
      <c r="F15" s="19" t="s">
        <v>15</v>
      </c>
      <c r="G15" s="19" t="s">
        <v>16</v>
      </c>
      <c r="H15" s="19" t="s">
        <v>17</v>
      </c>
      <c r="I15" s="19">
        <v>3</v>
      </c>
      <c r="J15" s="28">
        <f t="shared" si="0"/>
        <v>30</v>
      </c>
      <c r="K15" s="28">
        <f t="shared" si="1"/>
        <v>90</v>
      </c>
      <c r="L15" s="19" t="s">
        <v>18</v>
      </c>
      <c r="M15" s="24">
        <f t="shared" si="2"/>
        <v>35</v>
      </c>
      <c r="N15" s="28">
        <f t="shared" si="3"/>
        <v>105</v>
      </c>
      <c r="O15" s="28">
        <f t="shared" si="4"/>
        <v>15</v>
      </c>
    </row>
    <row r="16" spans="1:15">
      <c r="A16" s="20" t="s">
        <v>69</v>
      </c>
      <c r="B16" s="21">
        <v>46028</v>
      </c>
      <c r="C16" s="21">
        <v>46029</v>
      </c>
      <c r="D16" s="22" t="s">
        <v>20</v>
      </c>
      <c r="E16" s="22" t="s">
        <v>21</v>
      </c>
      <c r="F16" s="22" t="s">
        <v>22</v>
      </c>
      <c r="G16" s="22" t="s">
        <v>23</v>
      </c>
      <c r="H16" s="22" t="s">
        <v>24</v>
      </c>
      <c r="I16" s="22">
        <v>4</v>
      </c>
      <c r="J16" s="29">
        <f t="shared" si="0"/>
        <v>20</v>
      </c>
      <c r="K16" s="29">
        <f t="shared" si="1"/>
        <v>80</v>
      </c>
      <c r="L16" s="22" t="s">
        <v>25</v>
      </c>
      <c r="M16" s="25">
        <f t="shared" si="2"/>
        <v>25</v>
      </c>
      <c r="N16" s="29">
        <f t="shared" si="3"/>
        <v>100</v>
      </c>
      <c r="O16" s="29">
        <f t="shared" si="4"/>
        <v>20</v>
      </c>
    </row>
    <row r="17" spans="1:15">
      <c r="A17" s="17" t="s">
        <v>70</v>
      </c>
      <c r="B17" s="18">
        <v>46029</v>
      </c>
      <c r="C17" s="18">
        <v>46029</v>
      </c>
      <c r="D17" s="19" t="s">
        <v>27</v>
      </c>
      <c r="E17" s="19" t="s">
        <v>28</v>
      </c>
      <c r="F17" s="19" t="s">
        <v>29</v>
      </c>
      <c r="G17" s="19" t="s">
        <v>30</v>
      </c>
      <c r="H17" s="19" t="s">
        <v>31</v>
      </c>
      <c r="I17" s="19">
        <v>2</v>
      </c>
      <c r="J17" s="28">
        <f t="shared" si="0"/>
        <v>110</v>
      </c>
      <c r="K17" s="28">
        <f t="shared" si="1"/>
        <v>220</v>
      </c>
      <c r="L17" s="19" t="s">
        <v>32</v>
      </c>
      <c r="M17" s="24">
        <f t="shared" si="2"/>
        <v>120</v>
      </c>
      <c r="N17" s="28">
        <f t="shared" si="3"/>
        <v>240</v>
      </c>
      <c r="O17" s="28">
        <f t="shared" si="4"/>
        <v>20</v>
      </c>
    </row>
    <row r="18" spans="1:15">
      <c r="A18" s="20" t="s">
        <v>71</v>
      </c>
      <c r="B18" s="21">
        <v>46029</v>
      </c>
      <c r="C18" s="21">
        <v>46030</v>
      </c>
      <c r="D18" s="22" t="s">
        <v>34</v>
      </c>
      <c r="E18" s="22" t="s">
        <v>14</v>
      </c>
      <c r="F18" s="22" t="s">
        <v>35</v>
      </c>
      <c r="G18" s="22" t="s">
        <v>36</v>
      </c>
      <c r="H18" s="22" t="s">
        <v>37</v>
      </c>
      <c r="I18" s="22">
        <v>1</v>
      </c>
      <c r="J18" s="29">
        <f t="shared" si="0"/>
        <v>180</v>
      </c>
      <c r="K18" s="29">
        <f t="shared" si="1"/>
        <v>180</v>
      </c>
      <c r="L18" s="22" t="s">
        <v>18</v>
      </c>
      <c r="M18" s="25">
        <f t="shared" si="2"/>
        <v>200</v>
      </c>
      <c r="N18" s="29">
        <f t="shared" si="3"/>
        <v>200</v>
      </c>
      <c r="O18" s="29">
        <f t="shared" si="4"/>
        <v>20</v>
      </c>
    </row>
    <row r="19" spans="1:15">
      <c r="A19" s="17" t="s">
        <v>72</v>
      </c>
      <c r="B19" s="18">
        <v>46030</v>
      </c>
      <c r="C19" s="18">
        <v>46030</v>
      </c>
      <c r="D19" s="19" t="s">
        <v>39</v>
      </c>
      <c r="E19" s="19" t="s">
        <v>40</v>
      </c>
      <c r="F19" s="19" t="s">
        <v>41</v>
      </c>
      <c r="G19" s="19" t="s">
        <v>42</v>
      </c>
      <c r="H19" s="19" t="s">
        <v>43</v>
      </c>
      <c r="I19" s="19">
        <v>2</v>
      </c>
      <c r="J19" s="28">
        <f t="shared" si="0"/>
        <v>950</v>
      </c>
      <c r="K19" s="28">
        <f t="shared" si="1"/>
        <v>1900</v>
      </c>
      <c r="L19" s="19" t="s">
        <v>44</v>
      </c>
      <c r="M19" s="24">
        <f t="shared" si="2"/>
        <v>1000</v>
      </c>
      <c r="N19" s="28">
        <f t="shared" si="3"/>
        <v>2000</v>
      </c>
      <c r="O19" s="28">
        <f t="shared" si="4"/>
        <v>100</v>
      </c>
    </row>
    <row r="20" spans="1:15">
      <c r="A20" s="20" t="s">
        <v>73</v>
      </c>
      <c r="B20" s="21">
        <v>46030</v>
      </c>
      <c r="C20" s="21">
        <v>46031</v>
      </c>
      <c r="D20" s="22" t="s">
        <v>46</v>
      </c>
      <c r="E20" s="22" t="s">
        <v>47</v>
      </c>
      <c r="F20" s="22" t="s">
        <v>48</v>
      </c>
      <c r="G20" s="22" t="s">
        <v>16</v>
      </c>
      <c r="H20" s="22" t="s">
        <v>17</v>
      </c>
      <c r="I20" s="22">
        <v>1</v>
      </c>
      <c r="J20" s="29">
        <f t="shared" si="0"/>
        <v>30</v>
      </c>
      <c r="K20" s="29">
        <f t="shared" si="1"/>
        <v>30</v>
      </c>
      <c r="L20" s="22" t="s">
        <v>25</v>
      </c>
      <c r="M20" s="25">
        <f t="shared" si="2"/>
        <v>35</v>
      </c>
      <c r="N20" s="29">
        <f t="shared" si="3"/>
        <v>35</v>
      </c>
      <c r="O20" s="29">
        <f t="shared" si="4"/>
        <v>5</v>
      </c>
    </row>
    <row r="21" spans="1:15">
      <c r="A21" s="17" t="s">
        <v>74</v>
      </c>
      <c r="B21" s="18">
        <v>46031</v>
      </c>
      <c r="C21" s="18">
        <v>46031</v>
      </c>
      <c r="D21" s="19" t="s">
        <v>50</v>
      </c>
      <c r="E21" s="19" t="s">
        <v>51</v>
      </c>
      <c r="F21" s="19" t="s">
        <v>52</v>
      </c>
      <c r="G21" s="19" t="s">
        <v>23</v>
      </c>
      <c r="H21" s="19" t="s">
        <v>53</v>
      </c>
      <c r="I21" s="19">
        <v>3</v>
      </c>
      <c r="J21" s="28">
        <f t="shared" si="0"/>
        <v>30</v>
      </c>
      <c r="K21" s="28">
        <f t="shared" si="1"/>
        <v>90</v>
      </c>
      <c r="L21" s="19" t="s">
        <v>18</v>
      </c>
      <c r="M21" s="24">
        <f t="shared" si="2"/>
        <v>40</v>
      </c>
      <c r="N21" s="28">
        <f t="shared" si="3"/>
        <v>120</v>
      </c>
      <c r="O21" s="28">
        <f t="shared" si="4"/>
        <v>30</v>
      </c>
    </row>
    <row r="22" spans="1:15">
      <c r="A22" s="20" t="s">
        <v>75</v>
      </c>
      <c r="B22" s="21">
        <v>46031</v>
      </c>
      <c r="C22" s="21">
        <v>46032</v>
      </c>
      <c r="D22" s="22" t="s">
        <v>76</v>
      </c>
      <c r="E22" s="22" t="s">
        <v>14</v>
      </c>
      <c r="F22" s="22" t="s">
        <v>55</v>
      </c>
      <c r="G22" s="22" t="s">
        <v>56</v>
      </c>
      <c r="H22" s="22" t="s">
        <v>57</v>
      </c>
      <c r="I22" s="22">
        <v>5</v>
      </c>
      <c r="J22" s="29">
        <f t="shared" si="0"/>
        <v>120</v>
      </c>
      <c r="K22" s="29">
        <f t="shared" si="1"/>
        <v>600</v>
      </c>
      <c r="L22" s="22" t="s">
        <v>32</v>
      </c>
      <c r="M22" s="25">
        <f t="shared" si="2"/>
        <v>130</v>
      </c>
      <c r="N22" s="29">
        <f t="shared" si="3"/>
        <v>650</v>
      </c>
      <c r="O22" s="29">
        <f t="shared" si="4"/>
        <v>50</v>
      </c>
    </row>
    <row r="23" spans="1:15">
      <c r="A23" s="17" t="s">
        <v>77</v>
      </c>
      <c r="B23" s="18">
        <v>46032</v>
      </c>
      <c r="C23" s="18">
        <v>46032</v>
      </c>
      <c r="D23" s="19" t="s">
        <v>59</v>
      </c>
      <c r="E23" s="19" t="s">
        <v>21</v>
      </c>
      <c r="F23" s="19" t="s">
        <v>60</v>
      </c>
      <c r="G23" s="19" t="s">
        <v>61</v>
      </c>
      <c r="H23" s="19" t="s">
        <v>17</v>
      </c>
      <c r="I23" s="19">
        <v>6</v>
      </c>
      <c r="J23" s="28">
        <f t="shared" si="0"/>
        <v>30</v>
      </c>
      <c r="K23" s="28">
        <f t="shared" si="1"/>
        <v>180</v>
      </c>
      <c r="L23" s="19" t="s">
        <v>18</v>
      </c>
      <c r="M23" s="24">
        <f t="shared" si="2"/>
        <v>35</v>
      </c>
      <c r="N23" s="28">
        <f t="shared" si="3"/>
        <v>210</v>
      </c>
      <c r="O23" s="28">
        <f t="shared" si="4"/>
        <v>30</v>
      </c>
    </row>
    <row r="24" spans="1:15">
      <c r="A24" s="20" t="s">
        <v>78</v>
      </c>
      <c r="B24" s="21">
        <v>46032</v>
      </c>
      <c r="C24" s="21">
        <v>46033</v>
      </c>
      <c r="D24" s="22" t="s">
        <v>63</v>
      </c>
      <c r="E24" s="22" t="s">
        <v>40</v>
      </c>
      <c r="F24" s="22" t="s">
        <v>64</v>
      </c>
      <c r="G24" s="22" t="s">
        <v>65</v>
      </c>
      <c r="H24" s="22" t="s">
        <v>66</v>
      </c>
      <c r="I24" s="22">
        <v>1</v>
      </c>
      <c r="J24" s="29">
        <f t="shared" si="0"/>
        <v>220</v>
      </c>
      <c r="K24" s="29">
        <f t="shared" si="1"/>
        <v>220</v>
      </c>
      <c r="L24" s="22" t="s">
        <v>25</v>
      </c>
      <c r="M24" s="25">
        <f t="shared" si="2"/>
        <v>230</v>
      </c>
      <c r="N24" s="29">
        <f t="shared" si="3"/>
        <v>230</v>
      </c>
      <c r="O24" s="29">
        <f t="shared" si="4"/>
        <v>10</v>
      </c>
    </row>
    <row r="25" spans="1:15">
      <c r="A25" s="17" t="s">
        <v>79</v>
      </c>
      <c r="B25" s="18">
        <v>46033</v>
      </c>
      <c r="C25" s="18">
        <v>46033</v>
      </c>
      <c r="D25" s="19" t="s">
        <v>80</v>
      </c>
      <c r="E25" s="19" t="s">
        <v>28</v>
      </c>
      <c r="F25" s="19" t="s">
        <v>81</v>
      </c>
      <c r="G25" s="19" t="s">
        <v>30</v>
      </c>
      <c r="H25" s="19" t="s">
        <v>17</v>
      </c>
      <c r="I25" s="19">
        <v>2</v>
      </c>
      <c r="J25" s="28">
        <f t="shared" si="0"/>
        <v>30</v>
      </c>
      <c r="K25" s="28">
        <f t="shared" si="1"/>
        <v>60</v>
      </c>
      <c r="L25" s="19" t="s">
        <v>44</v>
      </c>
      <c r="M25" s="24">
        <f t="shared" si="2"/>
        <v>35</v>
      </c>
      <c r="N25" s="28">
        <f t="shared" si="3"/>
        <v>70</v>
      </c>
      <c r="O25" s="28">
        <f t="shared" si="4"/>
        <v>10</v>
      </c>
    </row>
    <row r="26" spans="1:15">
      <c r="A26" s="20" t="s">
        <v>82</v>
      </c>
      <c r="B26" s="21">
        <v>46033</v>
      </c>
      <c r="C26" s="21">
        <v>46034</v>
      </c>
      <c r="D26" s="22" t="s">
        <v>83</v>
      </c>
      <c r="E26" s="22" t="s">
        <v>21</v>
      </c>
      <c r="F26" s="22" t="s">
        <v>84</v>
      </c>
      <c r="G26" s="22" t="s">
        <v>16</v>
      </c>
      <c r="H26" s="22" t="s">
        <v>17</v>
      </c>
      <c r="I26" s="22">
        <v>1</v>
      </c>
      <c r="J26" s="29">
        <f t="shared" si="0"/>
        <v>30</v>
      </c>
      <c r="K26" s="29">
        <f t="shared" si="1"/>
        <v>30</v>
      </c>
      <c r="L26" s="22" t="s">
        <v>18</v>
      </c>
      <c r="M26" s="25">
        <f t="shared" si="2"/>
        <v>35</v>
      </c>
      <c r="N26" s="29">
        <f t="shared" si="3"/>
        <v>35</v>
      </c>
      <c r="O26" s="29">
        <f t="shared" si="4"/>
        <v>5</v>
      </c>
    </row>
    <row r="27" spans="1:15">
      <c r="A27" s="17" t="s">
        <v>85</v>
      </c>
      <c r="B27" s="18">
        <v>46034</v>
      </c>
      <c r="C27" s="18">
        <v>46034</v>
      </c>
      <c r="D27" s="19" t="s">
        <v>86</v>
      </c>
      <c r="E27" s="19" t="s">
        <v>14</v>
      </c>
      <c r="F27" s="19" t="s">
        <v>87</v>
      </c>
      <c r="G27" s="19" t="s">
        <v>42</v>
      </c>
      <c r="H27" s="19" t="s">
        <v>31</v>
      </c>
      <c r="I27" s="19">
        <v>3</v>
      </c>
      <c r="J27" s="28">
        <f t="shared" si="0"/>
        <v>110</v>
      </c>
      <c r="K27" s="28">
        <f t="shared" si="1"/>
        <v>330</v>
      </c>
      <c r="L27" s="19" t="s">
        <v>32</v>
      </c>
      <c r="M27" s="24">
        <f t="shared" si="2"/>
        <v>120</v>
      </c>
      <c r="N27" s="28">
        <f t="shared" si="3"/>
        <v>360</v>
      </c>
      <c r="O27" s="28">
        <f t="shared" si="4"/>
        <v>30</v>
      </c>
    </row>
    <row r="28" spans="1:15">
      <c r="A28" s="20" t="s">
        <v>88</v>
      </c>
      <c r="B28" s="21">
        <v>46034</v>
      </c>
      <c r="C28" s="21">
        <v>46035</v>
      </c>
      <c r="D28" s="22" t="s">
        <v>89</v>
      </c>
      <c r="E28" s="22" t="s">
        <v>40</v>
      </c>
      <c r="F28" s="22" t="s">
        <v>90</v>
      </c>
      <c r="G28" s="22" t="s">
        <v>23</v>
      </c>
      <c r="H28" s="22" t="s">
        <v>24</v>
      </c>
      <c r="I28" s="22">
        <v>2</v>
      </c>
      <c r="J28" s="29">
        <f t="shared" si="0"/>
        <v>20</v>
      </c>
      <c r="K28" s="29">
        <f t="shared" si="1"/>
        <v>40</v>
      </c>
      <c r="L28" s="22" t="s">
        <v>25</v>
      </c>
      <c r="M28" s="25">
        <f t="shared" si="2"/>
        <v>25</v>
      </c>
      <c r="N28" s="29">
        <f t="shared" si="3"/>
        <v>50</v>
      </c>
      <c r="O28" s="29">
        <f t="shared" si="4"/>
        <v>10</v>
      </c>
    </row>
    <row r="29" spans="1:15">
      <c r="A29" s="17" t="s">
        <v>91</v>
      </c>
      <c r="B29" s="18">
        <v>46035</v>
      </c>
      <c r="C29" s="18">
        <v>46035</v>
      </c>
      <c r="D29" s="19" t="s">
        <v>92</v>
      </c>
      <c r="E29" s="19" t="s">
        <v>51</v>
      </c>
      <c r="F29" s="19" t="s">
        <v>93</v>
      </c>
      <c r="G29" s="19" t="s">
        <v>36</v>
      </c>
      <c r="H29" s="19" t="s">
        <v>24</v>
      </c>
      <c r="I29" s="19">
        <v>6</v>
      </c>
      <c r="J29" s="28">
        <f t="shared" si="0"/>
        <v>20</v>
      </c>
      <c r="K29" s="28">
        <f t="shared" si="1"/>
        <v>120</v>
      </c>
      <c r="L29" s="19" t="s">
        <v>18</v>
      </c>
      <c r="M29" s="24">
        <f t="shared" si="2"/>
        <v>25</v>
      </c>
      <c r="N29" s="28">
        <f t="shared" si="3"/>
        <v>150</v>
      </c>
      <c r="O29" s="28">
        <f t="shared" si="4"/>
        <v>30</v>
      </c>
    </row>
    <row r="30" spans="1:15">
      <c r="A30" s="20" t="s">
        <v>94</v>
      </c>
      <c r="B30" s="21">
        <v>46035</v>
      </c>
      <c r="C30" s="21">
        <v>46036</v>
      </c>
      <c r="D30" s="22" t="s">
        <v>95</v>
      </c>
      <c r="E30" s="22" t="s">
        <v>47</v>
      </c>
      <c r="F30" s="22" t="s">
        <v>96</v>
      </c>
      <c r="G30" s="22" t="s">
        <v>56</v>
      </c>
      <c r="H30" s="22" t="s">
        <v>31</v>
      </c>
      <c r="I30" s="22">
        <v>12</v>
      </c>
      <c r="J30" s="29">
        <f t="shared" si="0"/>
        <v>110</v>
      </c>
      <c r="K30" s="29">
        <f t="shared" si="1"/>
        <v>1320</v>
      </c>
      <c r="L30" s="22" t="s">
        <v>44</v>
      </c>
      <c r="M30" s="25">
        <f t="shared" si="2"/>
        <v>120</v>
      </c>
      <c r="N30" s="29">
        <f t="shared" si="3"/>
        <v>1440</v>
      </c>
      <c r="O30" s="29">
        <f t="shared" si="4"/>
        <v>120</v>
      </c>
    </row>
    <row r="31" spans="1:15">
      <c r="A31" s="17" t="s">
        <v>97</v>
      </c>
      <c r="B31" s="18">
        <v>46036</v>
      </c>
      <c r="C31" s="18">
        <v>46036</v>
      </c>
      <c r="D31" s="19" t="s">
        <v>98</v>
      </c>
      <c r="E31" s="19" t="s">
        <v>21</v>
      </c>
      <c r="F31" s="19" t="s">
        <v>99</v>
      </c>
      <c r="G31" s="19" t="s">
        <v>42</v>
      </c>
      <c r="H31" s="19" t="s">
        <v>17</v>
      </c>
      <c r="I31" s="19">
        <v>2</v>
      </c>
      <c r="J31" s="28">
        <f t="shared" si="0"/>
        <v>30</v>
      </c>
      <c r="K31" s="28">
        <f t="shared" si="1"/>
        <v>60</v>
      </c>
      <c r="L31" s="19" t="s">
        <v>18</v>
      </c>
      <c r="M31" s="24">
        <f t="shared" si="2"/>
        <v>35</v>
      </c>
      <c r="N31" s="28">
        <f t="shared" si="3"/>
        <v>70</v>
      </c>
      <c r="O31" s="28">
        <f t="shared" si="4"/>
        <v>10</v>
      </c>
    </row>
    <row r="32" spans="1:15">
      <c r="A32" s="20" t="s">
        <v>100</v>
      </c>
      <c r="B32" s="21">
        <v>46036</v>
      </c>
      <c r="C32" s="21">
        <v>46037</v>
      </c>
      <c r="D32" s="22" t="s">
        <v>101</v>
      </c>
      <c r="E32" s="22" t="s">
        <v>14</v>
      </c>
      <c r="F32" s="22" t="s">
        <v>102</v>
      </c>
      <c r="G32" s="22" t="s">
        <v>30</v>
      </c>
      <c r="H32" s="22" t="s">
        <v>17</v>
      </c>
      <c r="I32" s="22">
        <v>1</v>
      </c>
      <c r="J32" s="29">
        <f t="shared" si="0"/>
        <v>30</v>
      </c>
      <c r="K32" s="29">
        <f t="shared" si="1"/>
        <v>30</v>
      </c>
      <c r="L32" s="22" t="s">
        <v>25</v>
      </c>
      <c r="M32" s="25">
        <f t="shared" si="2"/>
        <v>35</v>
      </c>
      <c r="N32" s="29">
        <f t="shared" si="3"/>
        <v>35</v>
      </c>
      <c r="O32" s="29">
        <f t="shared" si="4"/>
        <v>5</v>
      </c>
    </row>
    <row r="33" spans="1:15">
      <c r="A33" s="17" t="s">
        <v>103</v>
      </c>
      <c r="B33" s="18">
        <v>46037</v>
      </c>
      <c r="C33" s="18">
        <v>46037</v>
      </c>
      <c r="D33" s="19" t="s">
        <v>104</v>
      </c>
      <c r="E33" s="19" t="s">
        <v>40</v>
      </c>
      <c r="F33" s="19" t="s">
        <v>105</v>
      </c>
      <c r="G33" s="19" t="s">
        <v>16</v>
      </c>
      <c r="H33" s="19" t="s">
        <v>31</v>
      </c>
      <c r="I33" s="19">
        <v>4</v>
      </c>
      <c r="J33" s="28">
        <f t="shared" si="0"/>
        <v>110</v>
      </c>
      <c r="K33" s="28">
        <f t="shared" si="1"/>
        <v>440</v>
      </c>
      <c r="L33" s="19" t="s">
        <v>32</v>
      </c>
      <c r="M33" s="24">
        <f t="shared" si="2"/>
        <v>120</v>
      </c>
      <c r="N33" s="28">
        <f t="shared" si="3"/>
        <v>480</v>
      </c>
      <c r="O33" s="28">
        <f t="shared" si="4"/>
        <v>40</v>
      </c>
    </row>
    <row r="34" spans="1:15">
      <c r="A34" s="20" t="s">
        <v>106</v>
      </c>
      <c r="B34" s="21">
        <v>46037</v>
      </c>
      <c r="C34" s="21">
        <v>46038</v>
      </c>
      <c r="D34" s="22" t="s">
        <v>107</v>
      </c>
      <c r="E34" s="22" t="s">
        <v>28</v>
      </c>
      <c r="F34" s="22" t="s">
        <v>108</v>
      </c>
      <c r="G34" s="22" t="s">
        <v>65</v>
      </c>
      <c r="H34" s="22" t="s">
        <v>17</v>
      </c>
      <c r="I34" s="22">
        <v>3</v>
      </c>
      <c r="J34" s="29">
        <f t="shared" si="0"/>
        <v>30</v>
      </c>
      <c r="K34" s="29">
        <f t="shared" si="1"/>
        <v>90</v>
      </c>
      <c r="L34" s="22" t="s">
        <v>18</v>
      </c>
      <c r="M34" s="25">
        <f t="shared" si="2"/>
        <v>35</v>
      </c>
      <c r="N34" s="29">
        <f t="shared" si="3"/>
        <v>105</v>
      </c>
      <c r="O34" s="29">
        <f t="shared" si="4"/>
        <v>15</v>
      </c>
    </row>
    <row r="35" spans="1:15">
      <c r="A35" s="17" t="s">
        <v>109</v>
      </c>
      <c r="B35" s="18">
        <v>46038</v>
      </c>
      <c r="C35" s="18">
        <v>46038</v>
      </c>
      <c r="D35" s="19" t="s">
        <v>110</v>
      </c>
      <c r="E35" s="19" t="s">
        <v>21</v>
      </c>
      <c r="F35" s="19" t="s">
        <v>111</v>
      </c>
      <c r="G35" s="19" t="s">
        <v>61</v>
      </c>
      <c r="H35" s="19" t="s">
        <v>17</v>
      </c>
      <c r="I35" s="19">
        <v>5</v>
      </c>
      <c r="J35" s="28">
        <f t="shared" si="0"/>
        <v>30</v>
      </c>
      <c r="K35" s="28">
        <f t="shared" si="1"/>
        <v>150</v>
      </c>
      <c r="L35" s="19" t="s">
        <v>44</v>
      </c>
      <c r="M35" s="24">
        <f t="shared" si="2"/>
        <v>35</v>
      </c>
      <c r="N35" s="28">
        <f t="shared" si="3"/>
        <v>175</v>
      </c>
      <c r="O35" s="28">
        <f t="shared" si="4"/>
        <v>25</v>
      </c>
    </row>
    <row r="36" spans="1:15">
      <c r="A36" s="20" t="s">
        <v>112</v>
      </c>
      <c r="B36" s="21">
        <v>46038</v>
      </c>
      <c r="C36" s="21">
        <v>46039</v>
      </c>
      <c r="D36" s="22" t="s">
        <v>113</v>
      </c>
      <c r="E36" s="22" t="s">
        <v>14</v>
      </c>
      <c r="F36" s="22" t="s">
        <v>114</v>
      </c>
      <c r="G36" s="22" t="s">
        <v>23</v>
      </c>
      <c r="H36" s="22" t="s">
        <v>17</v>
      </c>
      <c r="I36" s="22">
        <v>8</v>
      </c>
      <c r="J36" s="29">
        <f t="shared" si="0"/>
        <v>30</v>
      </c>
      <c r="K36" s="29">
        <f t="shared" si="1"/>
        <v>240</v>
      </c>
      <c r="L36" s="22" t="s">
        <v>18</v>
      </c>
      <c r="M36" s="25">
        <f t="shared" si="2"/>
        <v>35</v>
      </c>
      <c r="N36" s="29">
        <f t="shared" si="3"/>
        <v>280</v>
      </c>
      <c r="O36" s="29">
        <f t="shared" si="4"/>
        <v>40</v>
      </c>
    </row>
    <row r="37" spans="1:15">
      <c r="A37" s="17" t="s">
        <v>115</v>
      </c>
      <c r="B37" s="18">
        <v>46039</v>
      </c>
      <c r="C37" s="18">
        <v>46039</v>
      </c>
      <c r="D37" s="19" t="s">
        <v>116</v>
      </c>
      <c r="E37" s="19" t="s">
        <v>40</v>
      </c>
      <c r="F37" s="19" t="s">
        <v>117</v>
      </c>
      <c r="G37" s="19" t="s">
        <v>36</v>
      </c>
      <c r="H37" s="19" t="s">
        <v>17</v>
      </c>
      <c r="I37" s="19">
        <v>2</v>
      </c>
      <c r="J37" s="28">
        <f t="shared" ref="J37:J100" si="5">IF(H37="Milk",30,IF(H37="Chips",20,IF(H37="Juice",110,IF(H37="Shampoo",180,IF(H37="Rice",950,IF(H37="Cookies",30,IF(H37="Apple",120,IF(H37="Tomato",40,IF(H37="Nuggets",220,0)))))))))</f>
        <v>30</v>
      </c>
      <c r="K37" s="28">
        <f t="shared" ref="K37:K100" si="6">J37*I37</f>
        <v>60</v>
      </c>
      <c r="L37" s="19" t="s">
        <v>25</v>
      </c>
      <c r="M37" s="24">
        <f t="shared" ref="M37:M100" si="7">IF(H37="Milk",35,IF(H37="Chips",25,IF(H37="Juice",120,IF(H37="Shampoo",200,IF(H37="Rice",1000,IF(H37="Cookies",40,IF(H37="Apple",130,IF(H37="Tomato",50,IF(H37="Nuggets",230,0)))))))))</f>
        <v>35</v>
      </c>
      <c r="N37" s="28">
        <f t="shared" ref="N37:N100" si="8">M37*I37</f>
        <v>70</v>
      </c>
      <c r="O37" s="28">
        <f t="shared" ref="O37:O100" si="9">N37-K37</f>
        <v>10</v>
      </c>
    </row>
    <row r="38" spans="1:15">
      <c r="A38" s="20" t="s">
        <v>118</v>
      </c>
      <c r="B38" s="21">
        <v>46039</v>
      </c>
      <c r="C38" s="21">
        <v>46040</v>
      </c>
      <c r="D38" s="22" t="s">
        <v>119</v>
      </c>
      <c r="E38" s="22" t="s">
        <v>51</v>
      </c>
      <c r="F38" s="22" t="s">
        <v>120</v>
      </c>
      <c r="G38" s="22" t="s">
        <v>16</v>
      </c>
      <c r="H38" s="22" t="s">
        <v>17</v>
      </c>
      <c r="I38" s="22">
        <v>2</v>
      </c>
      <c r="J38" s="29">
        <f t="shared" si="5"/>
        <v>30</v>
      </c>
      <c r="K38" s="29">
        <f t="shared" si="6"/>
        <v>60</v>
      </c>
      <c r="L38" s="22" t="s">
        <v>32</v>
      </c>
      <c r="M38" s="25">
        <f t="shared" si="7"/>
        <v>35</v>
      </c>
      <c r="N38" s="29">
        <f t="shared" si="8"/>
        <v>70</v>
      </c>
      <c r="O38" s="29">
        <f t="shared" si="9"/>
        <v>10</v>
      </c>
    </row>
    <row r="39" spans="1:15">
      <c r="A39" s="17" t="s">
        <v>121</v>
      </c>
      <c r="B39" s="18">
        <v>46040</v>
      </c>
      <c r="C39" s="18">
        <v>46040</v>
      </c>
      <c r="D39" s="19" t="s">
        <v>122</v>
      </c>
      <c r="E39" s="19" t="s">
        <v>47</v>
      </c>
      <c r="F39" s="19" t="s">
        <v>123</v>
      </c>
      <c r="G39" s="19" t="s">
        <v>42</v>
      </c>
      <c r="H39" s="19" t="s">
        <v>17</v>
      </c>
      <c r="I39" s="19">
        <v>1</v>
      </c>
      <c r="J39" s="28">
        <f t="shared" si="5"/>
        <v>30</v>
      </c>
      <c r="K39" s="28">
        <f t="shared" si="6"/>
        <v>30</v>
      </c>
      <c r="L39" s="19" t="s">
        <v>18</v>
      </c>
      <c r="M39" s="24">
        <f t="shared" si="7"/>
        <v>35</v>
      </c>
      <c r="N39" s="28">
        <f t="shared" si="8"/>
        <v>35</v>
      </c>
      <c r="O39" s="28">
        <f t="shared" si="9"/>
        <v>5</v>
      </c>
    </row>
    <row r="40" spans="1:15">
      <c r="A40" s="20" t="s">
        <v>124</v>
      </c>
      <c r="B40" s="21">
        <v>46040</v>
      </c>
      <c r="C40" s="21">
        <v>46041</v>
      </c>
      <c r="D40" s="22" t="s">
        <v>13</v>
      </c>
      <c r="E40" s="22" t="s">
        <v>14</v>
      </c>
      <c r="F40" s="22" t="s">
        <v>15</v>
      </c>
      <c r="G40" s="22" t="s">
        <v>16</v>
      </c>
      <c r="H40" s="22" t="s">
        <v>17</v>
      </c>
      <c r="I40" s="22">
        <v>2</v>
      </c>
      <c r="J40" s="29">
        <f t="shared" si="5"/>
        <v>30</v>
      </c>
      <c r="K40" s="29">
        <f t="shared" si="6"/>
        <v>60</v>
      </c>
      <c r="L40" s="22" t="s">
        <v>18</v>
      </c>
      <c r="M40" s="25">
        <f t="shared" si="7"/>
        <v>35</v>
      </c>
      <c r="N40" s="29">
        <f t="shared" si="8"/>
        <v>70</v>
      </c>
      <c r="O40" s="29">
        <f t="shared" si="9"/>
        <v>10</v>
      </c>
    </row>
    <row r="41" spans="1:15">
      <c r="A41" s="17" t="s">
        <v>125</v>
      </c>
      <c r="B41" s="18">
        <v>46041</v>
      </c>
      <c r="C41" s="18">
        <v>46041</v>
      </c>
      <c r="D41" s="19" t="s">
        <v>20</v>
      </c>
      <c r="E41" s="19" t="s">
        <v>21</v>
      </c>
      <c r="F41" s="19" t="s">
        <v>22</v>
      </c>
      <c r="G41" s="19" t="s">
        <v>23</v>
      </c>
      <c r="H41" s="19" t="s">
        <v>24</v>
      </c>
      <c r="I41" s="19">
        <v>3</v>
      </c>
      <c r="J41" s="28">
        <f t="shared" si="5"/>
        <v>20</v>
      </c>
      <c r="K41" s="28">
        <f t="shared" si="6"/>
        <v>60</v>
      </c>
      <c r="L41" s="19" t="s">
        <v>25</v>
      </c>
      <c r="M41" s="24">
        <f t="shared" si="7"/>
        <v>25</v>
      </c>
      <c r="N41" s="28">
        <f t="shared" si="8"/>
        <v>75</v>
      </c>
      <c r="O41" s="28">
        <f t="shared" si="9"/>
        <v>15</v>
      </c>
    </row>
    <row r="42" spans="1:15">
      <c r="A42" s="20" t="s">
        <v>126</v>
      </c>
      <c r="B42" s="21">
        <v>46041</v>
      </c>
      <c r="C42" s="21">
        <v>46042</v>
      </c>
      <c r="D42" s="22" t="s">
        <v>27</v>
      </c>
      <c r="E42" s="22" t="s">
        <v>28</v>
      </c>
      <c r="F42" s="22" t="s">
        <v>29</v>
      </c>
      <c r="G42" s="22" t="s">
        <v>30</v>
      </c>
      <c r="H42" s="22" t="s">
        <v>31</v>
      </c>
      <c r="I42" s="22">
        <v>1</v>
      </c>
      <c r="J42" s="29">
        <f t="shared" si="5"/>
        <v>110</v>
      </c>
      <c r="K42" s="29">
        <f t="shared" si="6"/>
        <v>110</v>
      </c>
      <c r="L42" s="22" t="s">
        <v>32</v>
      </c>
      <c r="M42" s="25">
        <f t="shared" si="7"/>
        <v>120</v>
      </c>
      <c r="N42" s="29">
        <f t="shared" si="8"/>
        <v>120</v>
      </c>
      <c r="O42" s="29">
        <f t="shared" si="9"/>
        <v>10</v>
      </c>
    </row>
    <row r="43" spans="1:15">
      <c r="A43" s="17" t="s">
        <v>127</v>
      </c>
      <c r="B43" s="18">
        <v>46042</v>
      </c>
      <c r="C43" s="18">
        <v>46042</v>
      </c>
      <c r="D43" s="19" t="s">
        <v>34</v>
      </c>
      <c r="E43" s="19" t="s">
        <v>14</v>
      </c>
      <c r="F43" s="19" t="s">
        <v>35</v>
      </c>
      <c r="G43" s="19" t="s">
        <v>36</v>
      </c>
      <c r="H43" s="19" t="s">
        <v>37</v>
      </c>
      <c r="I43" s="19">
        <v>2</v>
      </c>
      <c r="J43" s="28">
        <f t="shared" si="5"/>
        <v>180</v>
      </c>
      <c r="K43" s="28">
        <f t="shared" si="6"/>
        <v>360</v>
      </c>
      <c r="L43" s="19" t="s">
        <v>18</v>
      </c>
      <c r="M43" s="24">
        <f t="shared" si="7"/>
        <v>200</v>
      </c>
      <c r="N43" s="28">
        <f t="shared" si="8"/>
        <v>400</v>
      </c>
      <c r="O43" s="28">
        <f t="shared" si="9"/>
        <v>40</v>
      </c>
    </row>
    <row r="44" spans="1:15">
      <c r="A44" s="20" t="s">
        <v>128</v>
      </c>
      <c r="B44" s="21">
        <v>46042</v>
      </c>
      <c r="C44" s="21">
        <v>46043</v>
      </c>
      <c r="D44" s="22" t="s">
        <v>39</v>
      </c>
      <c r="E44" s="22" t="s">
        <v>40</v>
      </c>
      <c r="F44" s="22" t="s">
        <v>41</v>
      </c>
      <c r="G44" s="22" t="s">
        <v>42</v>
      </c>
      <c r="H44" s="22" t="s">
        <v>43</v>
      </c>
      <c r="I44" s="22">
        <v>1</v>
      </c>
      <c r="J44" s="29">
        <f t="shared" si="5"/>
        <v>950</v>
      </c>
      <c r="K44" s="29">
        <f t="shared" si="6"/>
        <v>950</v>
      </c>
      <c r="L44" s="22" t="s">
        <v>44</v>
      </c>
      <c r="M44" s="25">
        <f t="shared" si="7"/>
        <v>1000</v>
      </c>
      <c r="N44" s="29">
        <f t="shared" si="8"/>
        <v>1000</v>
      </c>
      <c r="O44" s="29">
        <f t="shared" si="9"/>
        <v>50</v>
      </c>
    </row>
    <row r="45" spans="1:15">
      <c r="A45" s="17" t="s">
        <v>129</v>
      </c>
      <c r="B45" s="18">
        <v>46043</v>
      </c>
      <c r="C45" s="18">
        <v>46043</v>
      </c>
      <c r="D45" s="19" t="s">
        <v>46</v>
      </c>
      <c r="E45" s="19" t="s">
        <v>47</v>
      </c>
      <c r="F45" s="19" t="s">
        <v>48</v>
      </c>
      <c r="G45" s="19" t="s">
        <v>16</v>
      </c>
      <c r="H45" s="19" t="s">
        <v>17</v>
      </c>
      <c r="I45" s="19">
        <v>2</v>
      </c>
      <c r="J45" s="28">
        <f t="shared" si="5"/>
        <v>30</v>
      </c>
      <c r="K45" s="28">
        <f t="shared" si="6"/>
        <v>60</v>
      </c>
      <c r="L45" s="19" t="s">
        <v>25</v>
      </c>
      <c r="M45" s="24">
        <f t="shared" si="7"/>
        <v>35</v>
      </c>
      <c r="N45" s="28">
        <f t="shared" si="8"/>
        <v>70</v>
      </c>
      <c r="O45" s="28">
        <f t="shared" si="9"/>
        <v>10</v>
      </c>
    </row>
    <row r="46" spans="1:15">
      <c r="A46" s="20" t="s">
        <v>130</v>
      </c>
      <c r="B46" s="21">
        <v>46043</v>
      </c>
      <c r="C46" s="21">
        <v>46044</v>
      </c>
      <c r="D46" s="22" t="s">
        <v>50</v>
      </c>
      <c r="E46" s="22" t="s">
        <v>51</v>
      </c>
      <c r="F46" s="22" t="s">
        <v>52</v>
      </c>
      <c r="G46" s="22" t="s">
        <v>23</v>
      </c>
      <c r="H46" s="22" t="s">
        <v>53</v>
      </c>
      <c r="I46" s="22">
        <v>5</v>
      </c>
      <c r="J46" s="29">
        <f t="shared" si="5"/>
        <v>30</v>
      </c>
      <c r="K46" s="29">
        <f t="shared" si="6"/>
        <v>150</v>
      </c>
      <c r="L46" s="22" t="s">
        <v>18</v>
      </c>
      <c r="M46" s="25">
        <f t="shared" si="7"/>
        <v>40</v>
      </c>
      <c r="N46" s="29">
        <f t="shared" si="8"/>
        <v>200</v>
      </c>
      <c r="O46" s="29">
        <f t="shared" si="9"/>
        <v>50</v>
      </c>
    </row>
    <row r="47" spans="1:15">
      <c r="A47" s="17" t="s">
        <v>131</v>
      </c>
      <c r="B47" s="18">
        <v>46044</v>
      </c>
      <c r="C47" s="18">
        <v>46044</v>
      </c>
      <c r="D47" s="19" t="s">
        <v>76</v>
      </c>
      <c r="E47" s="19" t="s">
        <v>14</v>
      </c>
      <c r="F47" s="19" t="s">
        <v>55</v>
      </c>
      <c r="G47" s="19" t="s">
        <v>56</v>
      </c>
      <c r="H47" s="19" t="s">
        <v>57</v>
      </c>
      <c r="I47" s="19">
        <v>3</v>
      </c>
      <c r="J47" s="28">
        <f t="shared" si="5"/>
        <v>120</v>
      </c>
      <c r="K47" s="28">
        <f t="shared" si="6"/>
        <v>360</v>
      </c>
      <c r="L47" s="19" t="s">
        <v>32</v>
      </c>
      <c r="M47" s="24">
        <f t="shared" si="7"/>
        <v>130</v>
      </c>
      <c r="N47" s="28">
        <f t="shared" si="8"/>
        <v>390</v>
      </c>
      <c r="O47" s="28">
        <f t="shared" si="9"/>
        <v>30</v>
      </c>
    </row>
    <row r="48" spans="1:15">
      <c r="A48" s="20" t="s">
        <v>132</v>
      </c>
      <c r="B48" s="21">
        <v>46044</v>
      </c>
      <c r="C48" s="21">
        <v>46045</v>
      </c>
      <c r="D48" s="22" t="s">
        <v>59</v>
      </c>
      <c r="E48" s="22" t="s">
        <v>21</v>
      </c>
      <c r="F48" s="22" t="s">
        <v>60</v>
      </c>
      <c r="G48" s="22" t="s">
        <v>61</v>
      </c>
      <c r="H48" s="22" t="s">
        <v>17</v>
      </c>
      <c r="I48" s="22">
        <v>4</v>
      </c>
      <c r="J48" s="29">
        <f t="shared" si="5"/>
        <v>30</v>
      </c>
      <c r="K48" s="29">
        <f t="shared" si="6"/>
        <v>120</v>
      </c>
      <c r="L48" s="22" t="s">
        <v>18</v>
      </c>
      <c r="M48" s="25">
        <f t="shared" si="7"/>
        <v>35</v>
      </c>
      <c r="N48" s="29">
        <f t="shared" si="8"/>
        <v>140</v>
      </c>
      <c r="O48" s="29">
        <f t="shared" si="9"/>
        <v>20</v>
      </c>
    </row>
    <row r="49" spans="1:15">
      <c r="A49" s="17" t="s">
        <v>133</v>
      </c>
      <c r="B49" s="18">
        <v>46045</v>
      </c>
      <c r="C49" s="18">
        <v>46045</v>
      </c>
      <c r="D49" s="19" t="s">
        <v>63</v>
      </c>
      <c r="E49" s="19" t="s">
        <v>40</v>
      </c>
      <c r="F49" s="19" t="s">
        <v>64</v>
      </c>
      <c r="G49" s="19" t="s">
        <v>65</v>
      </c>
      <c r="H49" s="19" t="s">
        <v>66</v>
      </c>
      <c r="I49" s="19">
        <v>2</v>
      </c>
      <c r="J49" s="28">
        <f t="shared" si="5"/>
        <v>220</v>
      </c>
      <c r="K49" s="28">
        <f t="shared" si="6"/>
        <v>440</v>
      </c>
      <c r="L49" s="19" t="s">
        <v>25</v>
      </c>
      <c r="M49" s="24">
        <f t="shared" si="7"/>
        <v>230</v>
      </c>
      <c r="N49" s="28">
        <f t="shared" si="8"/>
        <v>460</v>
      </c>
      <c r="O49" s="28">
        <f t="shared" si="9"/>
        <v>20</v>
      </c>
    </row>
    <row r="50" spans="1:15">
      <c r="A50" s="20" t="s">
        <v>134</v>
      </c>
      <c r="B50" s="21">
        <v>46045</v>
      </c>
      <c r="C50" s="21">
        <v>46046</v>
      </c>
      <c r="D50" s="22" t="s">
        <v>80</v>
      </c>
      <c r="E50" s="22" t="s">
        <v>28</v>
      </c>
      <c r="F50" s="22" t="s">
        <v>81</v>
      </c>
      <c r="G50" s="22" t="s">
        <v>30</v>
      </c>
      <c r="H50" s="22" t="s">
        <v>17</v>
      </c>
      <c r="I50" s="22">
        <v>2</v>
      </c>
      <c r="J50" s="29">
        <f t="shared" si="5"/>
        <v>30</v>
      </c>
      <c r="K50" s="29">
        <f t="shared" si="6"/>
        <v>60</v>
      </c>
      <c r="L50" s="22" t="s">
        <v>44</v>
      </c>
      <c r="M50" s="25">
        <f t="shared" si="7"/>
        <v>35</v>
      </c>
      <c r="N50" s="29">
        <f t="shared" si="8"/>
        <v>70</v>
      </c>
      <c r="O50" s="29">
        <f t="shared" si="9"/>
        <v>10</v>
      </c>
    </row>
    <row r="51" spans="1:15">
      <c r="A51" s="17" t="s">
        <v>135</v>
      </c>
      <c r="B51" s="18">
        <v>46046</v>
      </c>
      <c r="C51" s="18">
        <v>46046</v>
      </c>
      <c r="D51" s="19" t="s">
        <v>83</v>
      </c>
      <c r="E51" s="19" t="s">
        <v>21</v>
      </c>
      <c r="F51" s="19" t="s">
        <v>84</v>
      </c>
      <c r="G51" s="19" t="s">
        <v>16</v>
      </c>
      <c r="H51" s="19" t="s">
        <v>17</v>
      </c>
      <c r="I51" s="19">
        <v>1</v>
      </c>
      <c r="J51" s="28">
        <f t="shared" si="5"/>
        <v>30</v>
      </c>
      <c r="K51" s="28">
        <f t="shared" si="6"/>
        <v>30</v>
      </c>
      <c r="L51" s="19" t="s">
        <v>18</v>
      </c>
      <c r="M51" s="24">
        <f t="shared" si="7"/>
        <v>35</v>
      </c>
      <c r="N51" s="28">
        <f t="shared" si="8"/>
        <v>35</v>
      </c>
      <c r="O51" s="28">
        <f t="shared" si="9"/>
        <v>5</v>
      </c>
    </row>
    <row r="52" spans="1:15">
      <c r="A52" s="20" t="s">
        <v>136</v>
      </c>
      <c r="B52" s="21">
        <v>46046</v>
      </c>
      <c r="C52" s="21">
        <v>46047</v>
      </c>
      <c r="D52" s="22" t="s">
        <v>86</v>
      </c>
      <c r="E52" s="22" t="s">
        <v>14</v>
      </c>
      <c r="F52" s="22" t="s">
        <v>87</v>
      </c>
      <c r="G52" s="22" t="s">
        <v>42</v>
      </c>
      <c r="H52" s="22" t="s">
        <v>31</v>
      </c>
      <c r="I52" s="22">
        <v>3</v>
      </c>
      <c r="J52" s="29">
        <f t="shared" si="5"/>
        <v>110</v>
      </c>
      <c r="K52" s="29">
        <f t="shared" si="6"/>
        <v>330</v>
      </c>
      <c r="L52" s="22" t="s">
        <v>32</v>
      </c>
      <c r="M52" s="25">
        <f t="shared" si="7"/>
        <v>120</v>
      </c>
      <c r="N52" s="29">
        <f t="shared" si="8"/>
        <v>360</v>
      </c>
      <c r="O52" s="29">
        <f t="shared" si="9"/>
        <v>30</v>
      </c>
    </row>
    <row r="53" spans="1:15">
      <c r="A53" s="17" t="s">
        <v>137</v>
      </c>
      <c r="B53" s="18">
        <v>46047</v>
      </c>
      <c r="C53" s="18">
        <v>46047</v>
      </c>
      <c r="D53" s="19" t="s">
        <v>89</v>
      </c>
      <c r="E53" s="19" t="s">
        <v>40</v>
      </c>
      <c r="F53" s="19" t="s">
        <v>90</v>
      </c>
      <c r="G53" s="19" t="s">
        <v>23</v>
      </c>
      <c r="H53" s="19" t="s">
        <v>24</v>
      </c>
      <c r="I53" s="19">
        <v>2</v>
      </c>
      <c r="J53" s="28">
        <f t="shared" si="5"/>
        <v>20</v>
      </c>
      <c r="K53" s="28">
        <f t="shared" si="6"/>
        <v>40</v>
      </c>
      <c r="L53" s="19" t="s">
        <v>25</v>
      </c>
      <c r="M53" s="24">
        <f t="shared" si="7"/>
        <v>25</v>
      </c>
      <c r="N53" s="28">
        <f t="shared" si="8"/>
        <v>50</v>
      </c>
      <c r="O53" s="28">
        <f t="shared" si="9"/>
        <v>10</v>
      </c>
    </row>
    <row r="54" spans="1:15">
      <c r="A54" s="20" t="s">
        <v>138</v>
      </c>
      <c r="B54" s="21">
        <v>46047</v>
      </c>
      <c r="C54" s="21">
        <v>46048</v>
      </c>
      <c r="D54" s="22" t="s">
        <v>92</v>
      </c>
      <c r="E54" s="22" t="s">
        <v>51</v>
      </c>
      <c r="F54" s="22" t="s">
        <v>93</v>
      </c>
      <c r="G54" s="22" t="s">
        <v>36</v>
      </c>
      <c r="H54" s="22" t="s">
        <v>24</v>
      </c>
      <c r="I54" s="22">
        <v>6</v>
      </c>
      <c r="J54" s="29">
        <f t="shared" si="5"/>
        <v>20</v>
      </c>
      <c r="K54" s="29">
        <f t="shared" si="6"/>
        <v>120</v>
      </c>
      <c r="L54" s="22" t="s">
        <v>18</v>
      </c>
      <c r="M54" s="25">
        <f t="shared" si="7"/>
        <v>25</v>
      </c>
      <c r="N54" s="29">
        <f t="shared" si="8"/>
        <v>150</v>
      </c>
      <c r="O54" s="29">
        <f t="shared" si="9"/>
        <v>30</v>
      </c>
    </row>
    <row r="55" spans="1:15">
      <c r="A55" s="17" t="s">
        <v>165</v>
      </c>
      <c r="B55" s="18">
        <v>46109</v>
      </c>
      <c r="C55" s="18">
        <v>46109</v>
      </c>
      <c r="D55" s="19" t="s">
        <v>13</v>
      </c>
      <c r="E55" s="19" t="s">
        <v>14</v>
      </c>
      <c r="F55" s="19" t="s">
        <v>15</v>
      </c>
      <c r="G55" s="19" t="s">
        <v>16</v>
      </c>
      <c r="H55" s="19" t="s">
        <v>17</v>
      </c>
      <c r="I55" s="19">
        <v>5</v>
      </c>
      <c r="J55" s="28">
        <f t="shared" si="5"/>
        <v>30</v>
      </c>
      <c r="K55" s="28">
        <f t="shared" si="6"/>
        <v>150</v>
      </c>
      <c r="L55" s="19" t="s">
        <v>18</v>
      </c>
      <c r="M55" s="24">
        <f t="shared" si="7"/>
        <v>35</v>
      </c>
      <c r="N55" s="28">
        <f t="shared" si="8"/>
        <v>175</v>
      </c>
      <c r="O55" s="28">
        <f t="shared" si="9"/>
        <v>25</v>
      </c>
    </row>
    <row r="56" spans="1:15">
      <c r="A56" s="20" t="s">
        <v>166</v>
      </c>
      <c r="B56" s="21">
        <v>46109</v>
      </c>
      <c r="C56" s="21">
        <v>46110</v>
      </c>
      <c r="D56" s="22" t="s">
        <v>20</v>
      </c>
      <c r="E56" s="22" t="s">
        <v>21</v>
      </c>
      <c r="F56" s="22" t="s">
        <v>22</v>
      </c>
      <c r="G56" s="22" t="s">
        <v>23</v>
      </c>
      <c r="H56" s="22" t="s">
        <v>24</v>
      </c>
      <c r="I56" s="22">
        <v>7</v>
      </c>
      <c r="J56" s="29">
        <f t="shared" si="5"/>
        <v>20</v>
      </c>
      <c r="K56" s="29">
        <f t="shared" si="6"/>
        <v>140</v>
      </c>
      <c r="L56" s="22" t="s">
        <v>25</v>
      </c>
      <c r="M56" s="25">
        <f t="shared" si="7"/>
        <v>25</v>
      </c>
      <c r="N56" s="29">
        <f t="shared" si="8"/>
        <v>175</v>
      </c>
      <c r="O56" s="29">
        <f t="shared" si="9"/>
        <v>35</v>
      </c>
    </row>
    <row r="57" spans="1:15">
      <c r="A57" s="17" t="s">
        <v>167</v>
      </c>
      <c r="B57" s="18">
        <v>46110</v>
      </c>
      <c r="C57" s="18">
        <v>46110</v>
      </c>
      <c r="D57" s="19" t="s">
        <v>27</v>
      </c>
      <c r="E57" s="19" t="s">
        <v>28</v>
      </c>
      <c r="F57" s="19" t="s">
        <v>29</v>
      </c>
      <c r="G57" s="19" t="s">
        <v>30</v>
      </c>
      <c r="H57" s="19" t="s">
        <v>31</v>
      </c>
      <c r="I57" s="19">
        <v>3</v>
      </c>
      <c r="J57" s="28">
        <f t="shared" si="5"/>
        <v>110</v>
      </c>
      <c r="K57" s="28">
        <f t="shared" si="6"/>
        <v>330</v>
      </c>
      <c r="L57" s="19" t="s">
        <v>32</v>
      </c>
      <c r="M57" s="24">
        <f t="shared" si="7"/>
        <v>120</v>
      </c>
      <c r="N57" s="28">
        <f t="shared" si="8"/>
        <v>360</v>
      </c>
      <c r="O57" s="28">
        <f t="shared" si="9"/>
        <v>30</v>
      </c>
    </row>
    <row r="58" spans="1:15">
      <c r="A58" s="20" t="s">
        <v>168</v>
      </c>
      <c r="B58" s="21">
        <v>46110</v>
      </c>
      <c r="C58" s="21">
        <v>46111</v>
      </c>
      <c r="D58" s="22" t="s">
        <v>34</v>
      </c>
      <c r="E58" s="22" t="s">
        <v>14</v>
      </c>
      <c r="F58" s="22" t="s">
        <v>35</v>
      </c>
      <c r="G58" s="22" t="s">
        <v>36</v>
      </c>
      <c r="H58" s="22" t="s">
        <v>37</v>
      </c>
      <c r="I58" s="22">
        <v>4</v>
      </c>
      <c r="J58" s="29">
        <f t="shared" si="5"/>
        <v>180</v>
      </c>
      <c r="K58" s="29">
        <f t="shared" si="6"/>
        <v>720</v>
      </c>
      <c r="L58" s="22" t="s">
        <v>18</v>
      </c>
      <c r="M58" s="25">
        <f t="shared" si="7"/>
        <v>200</v>
      </c>
      <c r="N58" s="29">
        <f t="shared" si="8"/>
        <v>800</v>
      </c>
      <c r="O58" s="29">
        <f t="shared" si="9"/>
        <v>80</v>
      </c>
    </row>
    <row r="59" spans="1:15">
      <c r="A59" s="17" t="s">
        <v>169</v>
      </c>
      <c r="B59" s="18">
        <v>46111</v>
      </c>
      <c r="C59" s="18">
        <v>46111</v>
      </c>
      <c r="D59" s="19" t="s">
        <v>39</v>
      </c>
      <c r="E59" s="19" t="s">
        <v>40</v>
      </c>
      <c r="F59" s="19" t="s">
        <v>41</v>
      </c>
      <c r="G59" s="19" t="s">
        <v>42</v>
      </c>
      <c r="H59" s="19" t="s">
        <v>43</v>
      </c>
      <c r="I59" s="19">
        <v>3</v>
      </c>
      <c r="J59" s="28">
        <f t="shared" si="5"/>
        <v>950</v>
      </c>
      <c r="K59" s="28">
        <f t="shared" si="6"/>
        <v>2850</v>
      </c>
      <c r="L59" s="19" t="s">
        <v>44</v>
      </c>
      <c r="M59" s="24">
        <f t="shared" si="7"/>
        <v>1000</v>
      </c>
      <c r="N59" s="28">
        <f t="shared" si="8"/>
        <v>3000</v>
      </c>
      <c r="O59" s="28">
        <f t="shared" si="9"/>
        <v>150</v>
      </c>
    </row>
    <row r="60" spans="1:15">
      <c r="A60" s="20" t="s">
        <v>170</v>
      </c>
      <c r="B60" s="21">
        <v>46111</v>
      </c>
      <c r="C60" s="21">
        <v>46112</v>
      </c>
      <c r="D60" s="22" t="s">
        <v>46</v>
      </c>
      <c r="E60" s="22" t="s">
        <v>47</v>
      </c>
      <c r="F60" s="22" t="s">
        <v>48</v>
      </c>
      <c r="G60" s="22" t="s">
        <v>16</v>
      </c>
      <c r="H60" s="22" t="s">
        <v>57</v>
      </c>
      <c r="I60" s="22">
        <v>5</v>
      </c>
      <c r="J60" s="29">
        <f t="shared" si="5"/>
        <v>120</v>
      </c>
      <c r="K60" s="29">
        <f t="shared" si="6"/>
        <v>600</v>
      </c>
      <c r="L60" s="22" t="s">
        <v>25</v>
      </c>
      <c r="M60" s="25">
        <f t="shared" si="7"/>
        <v>130</v>
      </c>
      <c r="N60" s="29">
        <f t="shared" si="8"/>
        <v>650</v>
      </c>
      <c r="O60" s="29">
        <f t="shared" si="9"/>
        <v>50</v>
      </c>
    </row>
    <row r="61" spans="1:15">
      <c r="A61" s="17" t="s">
        <v>171</v>
      </c>
      <c r="B61" s="18">
        <v>46112</v>
      </c>
      <c r="C61" s="18">
        <v>46112</v>
      </c>
      <c r="D61" s="19" t="s">
        <v>50</v>
      </c>
      <c r="E61" s="19" t="s">
        <v>51</v>
      </c>
      <c r="F61" s="19" t="s">
        <v>52</v>
      </c>
      <c r="G61" s="19" t="s">
        <v>23</v>
      </c>
      <c r="H61" s="19" t="s">
        <v>53</v>
      </c>
      <c r="I61" s="19">
        <v>8</v>
      </c>
      <c r="J61" s="28">
        <f t="shared" si="5"/>
        <v>30</v>
      </c>
      <c r="K61" s="28">
        <f t="shared" si="6"/>
        <v>240</v>
      </c>
      <c r="L61" s="19" t="s">
        <v>18</v>
      </c>
      <c r="M61" s="24">
        <f t="shared" si="7"/>
        <v>40</v>
      </c>
      <c r="N61" s="28">
        <f t="shared" si="8"/>
        <v>320</v>
      </c>
      <c r="O61" s="28">
        <f t="shared" si="9"/>
        <v>80</v>
      </c>
    </row>
    <row r="62" spans="1:15">
      <c r="A62" s="20" t="s">
        <v>172</v>
      </c>
      <c r="B62" s="21">
        <v>46112</v>
      </c>
      <c r="C62" s="21">
        <v>46113</v>
      </c>
      <c r="D62" s="22" t="s">
        <v>149</v>
      </c>
      <c r="E62" s="22" t="s">
        <v>14</v>
      </c>
      <c r="F62" s="22" t="s">
        <v>55</v>
      </c>
      <c r="G62" s="22" t="s">
        <v>56</v>
      </c>
      <c r="H62" s="22" t="s">
        <v>57</v>
      </c>
      <c r="I62" s="22">
        <v>6</v>
      </c>
      <c r="J62" s="29">
        <f t="shared" si="5"/>
        <v>120</v>
      </c>
      <c r="K62" s="29">
        <f t="shared" si="6"/>
        <v>720</v>
      </c>
      <c r="L62" s="22" t="s">
        <v>32</v>
      </c>
      <c r="M62" s="25">
        <f t="shared" si="7"/>
        <v>130</v>
      </c>
      <c r="N62" s="29">
        <f t="shared" si="8"/>
        <v>780</v>
      </c>
      <c r="O62" s="29">
        <f t="shared" si="9"/>
        <v>60</v>
      </c>
    </row>
    <row r="63" spans="1:15">
      <c r="A63" s="17" t="s">
        <v>173</v>
      </c>
      <c r="B63" s="18">
        <v>46113</v>
      </c>
      <c r="C63" s="18">
        <v>46113</v>
      </c>
      <c r="D63" s="19" t="s">
        <v>59</v>
      </c>
      <c r="E63" s="19" t="s">
        <v>21</v>
      </c>
      <c r="F63" s="19" t="s">
        <v>60</v>
      </c>
      <c r="G63" s="19" t="s">
        <v>61</v>
      </c>
      <c r="H63" s="19" t="s">
        <v>17</v>
      </c>
      <c r="I63" s="19">
        <v>8</v>
      </c>
      <c r="J63" s="28">
        <f t="shared" si="5"/>
        <v>30</v>
      </c>
      <c r="K63" s="28">
        <f t="shared" si="6"/>
        <v>240</v>
      </c>
      <c r="L63" s="19" t="s">
        <v>18</v>
      </c>
      <c r="M63" s="24">
        <f t="shared" si="7"/>
        <v>35</v>
      </c>
      <c r="N63" s="28">
        <f t="shared" si="8"/>
        <v>280</v>
      </c>
      <c r="O63" s="28">
        <f t="shared" si="9"/>
        <v>40</v>
      </c>
    </row>
    <row r="64" spans="1:15">
      <c r="A64" s="20" t="s">
        <v>174</v>
      </c>
      <c r="B64" s="21">
        <v>46113</v>
      </c>
      <c r="C64" s="21">
        <v>46114</v>
      </c>
      <c r="D64" s="22" t="s">
        <v>63</v>
      </c>
      <c r="E64" s="22" t="s">
        <v>40</v>
      </c>
      <c r="F64" s="22" t="s">
        <v>64</v>
      </c>
      <c r="G64" s="22" t="s">
        <v>65</v>
      </c>
      <c r="H64" s="22" t="s">
        <v>66</v>
      </c>
      <c r="I64" s="22">
        <v>4</v>
      </c>
      <c r="J64" s="29">
        <f t="shared" si="5"/>
        <v>220</v>
      </c>
      <c r="K64" s="29">
        <f t="shared" si="6"/>
        <v>880</v>
      </c>
      <c r="L64" s="22" t="s">
        <v>25</v>
      </c>
      <c r="M64" s="25">
        <f t="shared" si="7"/>
        <v>230</v>
      </c>
      <c r="N64" s="29">
        <f t="shared" si="8"/>
        <v>920</v>
      </c>
      <c r="O64" s="29">
        <f t="shared" si="9"/>
        <v>40</v>
      </c>
    </row>
    <row r="65" spans="1:15">
      <c r="A65" s="17" t="s">
        <v>175</v>
      </c>
      <c r="B65" s="18">
        <v>46114</v>
      </c>
      <c r="C65" s="18">
        <v>46114</v>
      </c>
      <c r="D65" s="19" t="s">
        <v>68</v>
      </c>
      <c r="E65" s="19" t="s">
        <v>14</v>
      </c>
      <c r="F65" s="19" t="s">
        <v>15</v>
      </c>
      <c r="G65" s="19" t="s">
        <v>16</v>
      </c>
      <c r="H65" s="19" t="s">
        <v>17</v>
      </c>
      <c r="I65" s="19">
        <v>2</v>
      </c>
      <c r="J65" s="28">
        <f t="shared" si="5"/>
        <v>30</v>
      </c>
      <c r="K65" s="28">
        <f t="shared" si="6"/>
        <v>60</v>
      </c>
      <c r="L65" s="19" t="s">
        <v>18</v>
      </c>
      <c r="M65" s="24">
        <f t="shared" si="7"/>
        <v>35</v>
      </c>
      <c r="N65" s="28">
        <f t="shared" si="8"/>
        <v>70</v>
      </c>
      <c r="O65" s="28">
        <f t="shared" si="9"/>
        <v>10</v>
      </c>
    </row>
    <row r="66" spans="1:15">
      <c r="A66" s="20" t="s">
        <v>176</v>
      </c>
      <c r="B66" s="21">
        <v>46114</v>
      </c>
      <c r="C66" s="21">
        <v>46115</v>
      </c>
      <c r="D66" s="22" t="s">
        <v>20</v>
      </c>
      <c r="E66" s="22" t="s">
        <v>21</v>
      </c>
      <c r="F66" s="22" t="s">
        <v>22</v>
      </c>
      <c r="G66" s="22" t="s">
        <v>23</v>
      </c>
      <c r="H66" s="22" t="s">
        <v>24</v>
      </c>
      <c r="I66" s="22">
        <v>3</v>
      </c>
      <c r="J66" s="29">
        <f t="shared" si="5"/>
        <v>20</v>
      </c>
      <c r="K66" s="29">
        <f t="shared" si="6"/>
        <v>60</v>
      </c>
      <c r="L66" s="22" t="s">
        <v>25</v>
      </c>
      <c r="M66" s="25">
        <f t="shared" si="7"/>
        <v>25</v>
      </c>
      <c r="N66" s="29">
        <f t="shared" si="8"/>
        <v>75</v>
      </c>
      <c r="O66" s="29">
        <f t="shared" si="9"/>
        <v>15</v>
      </c>
    </row>
    <row r="67" spans="1:15">
      <c r="A67" s="17" t="s">
        <v>177</v>
      </c>
      <c r="B67" s="18">
        <v>46115</v>
      </c>
      <c r="C67" s="18">
        <v>46115</v>
      </c>
      <c r="D67" s="19" t="s">
        <v>27</v>
      </c>
      <c r="E67" s="19" t="s">
        <v>28</v>
      </c>
      <c r="F67" s="19" t="s">
        <v>29</v>
      </c>
      <c r="G67" s="19" t="s">
        <v>30</v>
      </c>
      <c r="H67" s="19" t="s">
        <v>57</v>
      </c>
      <c r="I67" s="19">
        <v>4</v>
      </c>
      <c r="J67" s="28">
        <f t="shared" si="5"/>
        <v>120</v>
      </c>
      <c r="K67" s="28">
        <f t="shared" si="6"/>
        <v>480</v>
      </c>
      <c r="L67" s="19" t="s">
        <v>32</v>
      </c>
      <c r="M67" s="24">
        <f t="shared" si="7"/>
        <v>130</v>
      </c>
      <c r="N67" s="28">
        <f t="shared" si="8"/>
        <v>520</v>
      </c>
      <c r="O67" s="28">
        <f t="shared" si="9"/>
        <v>40</v>
      </c>
    </row>
    <row r="68" spans="1:15">
      <c r="A68" s="20" t="s">
        <v>178</v>
      </c>
      <c r="B68" s="21">
        <v>46115</v>
      </c>
      <c r="C68" s="21">
        <v>46116</v>
      </c>
      <c r="D68" s="22" t="s">
        <v>34</v>
      </c>
      <c r="E68" s="22" t="s">
        <v>14</v>
      </c>
      <c r="F68" s="22" t="s">
        <v>35</v>
      </c>
      <c r="G68" s="22" t="s">
        <v>36</v>
      </c>
      <c r="H68" s="22" t="s">
        <v>17</v>
      </c>
      <c r="I68" s="22">
        <v>6</v>
      </c>
      <c r="J68" s="29">
        <f t="shared" si="5"/>
        <v>30</v>
      </c>
      <c r="K68" s="29">
        <f t="shared" si="6"/>
        <v>180</v>
      </c>
      <c r="L68" s="22" t="s">
        <v>18</v>
      </c>
      <c r="M68" s="25">
        <f t="shared" si="7"/>
        <v>35</v>
      </c>
      <c r="N68" s="29">
        <f t="shared" si="8"/>
        <v>210</v>
      </c>
      <c r="O68" s="29">
        <f t="shared" si="9"/>
        <v>30</v>
      </c>
    </row>
    <row r="69" spans="1:15">
      <c r="A69" s="17" t="s">
        <v>179</v>
      </c>
      <c r="B69" s="18">
        <v>46116</v>
      </c>
      <c r="C69" s="18">
        <v>46116</v>
      </c>
      <c r="D69" s="19" t="s">
        <v>39</v>
      </c>
      <c r="E69" s="19" t="s">
        <v>40</v>
      </c>
      <c r="F69" s="19" t="s">
        <v>41</v>
      </c>
      <c r="G69" s="19" t="s">
        <v>42</v>
      </c>
      <c r="H69" s="19" t="s">
        <v>43</v>
      </c>
      <c r="I69" s="19">
        <v>1</v>
      </c>
      <c r="J69" s="28">
        <f t="shared" si="5"/>
        <v>950</v>
      </c>
      <c r="K69" s="28">
        <f t="shared" si="6"/>
        <v>950</v>
      </c>
      <c r="L69" s="19" t="s">
        <v>44</v>
      </c>
      <c r="M69" s="24">
        <f t="shared" si="7"/>
        <v>1000</v>
      </c>
      <c r="N69" s="28">
        <f t="shared" si="8"/>
        <v>1000</v>
      </c>
      <c r="O69" s="28">
        <f t="shared" si="9"/>
        <v>50</v>
      </c>
    </row>
    <row r="70" spans="1:15">
      <c r="A70" s="20" t="s">
        <v>180</v>
      </c>
      <c r="B70" s="21">
        <v>46116</v>
      </c>
      <c r="C70" s="21">
        <v>46117</v>
      </c>
      <c r="D70" s="22" t="s">
        <v>46</v>
      </c>
      <c r="E70" s="22" t="s">
        <v>47</v>
      </c>
      <c r="F70" s="22" t="s">
        <v>48</v>
      </c>
      <c r="G70" s="22" t="s">
        <v>16</v>
      </c>
      <c r="H70" s="22" t="s">
        <v>57</v>
      </c>
      <c r="I70" s="22">
        <v>2</v>
      </c>
      <c r="J70" s="29">
        <f t="shared" si="5"/>
        <v>120</v>
      </c>
      <c r="K70" s="29">
        <f t="shared" si="6"/>
        <v>240</v>
      </c>
      <c r="L70" s="22" t="s">
        <v>25</v>
      </c>
      <c r="M70" s="25">
        <f t="shared" si="7"/>
        <v>130</v>
      </c>
      <c r="N70" s="29">
        <f t="shared" si="8"/>
        <v>260</v>
      </c>
      <c r="O70" s="29">
        <f t="shared" si="9"/>
        <v>20</v>
      </c>
    </row>
    <row r="71" spans="1:15">
      <c r="A71" s="17" t="s">
        <v>181</v>
      </c>
      <c r="B71" s="18">
        <v>46117</v>
      </c>
      <c r="C71" s="18">
        <v>46117</v>
      </c>
      <c r="D71" s="19" t="s">
        <v>50</v>
      </c>
      <c r="E71" s="19" t="s">
        <v>51</v>
      </c>
      <c r="F71" s="19" t="s">
        <v>52</v>
      </c>
      <c r="G71" s="19" t="s">
        <v>23</v>
      </c>
      <c r="H71" s="19" t="s">
        <v>53</v>
      </c>
      <c r="I71" s="19">
        <v>5</v>
      </c>
      <c r="J71" s="28">
        <f t="shared" si="5"/>
        <v>30</v>
      </c>
      <c r="K71" s="28">
        <f t="shared" si="6"/>
        <v>150</v>
      </c>
      <c r="L71" s="19" t="s">
        <v>18</v>
      </c>
      <c r="M71" s="24">
        <f t="shared" si="7"/>
        <v>40</v>
      </c>
      <c r="N71" s="28">
        <f t="shared" si="8"/>
        <v>200</v>
      </c>
      <c r="O71" s="28">
        <f t="shared" si="9"/>
        <v>50</v>
      </c>
    </row>
    <row r="72" spans="1:15">
      <c r="A72" s="20" t="s">
        <v>182</v>
      </c>
      <c r="B72" s="21">
        <v>46117</v>
      </c>
      <c r="C72" s="21">
        <v>46118</v>
      </c>
      <c r="D72" s="22" t="s">
        <v>76</v>
      </c>
      <c r="E72" s="22" t="s">
        <v>14</v>
      </c>
      <c r="F72" s="22" t="s">
        <v>55</v>
      </c>
      <c r="G72" s="22" t="s">
        <v>56</v>
      </c>
      <c r="H72" s="22" t="s">
        <v>31</v>
      </c>
      <c r="I72" s="22">
        <v>12</v>
      </c>
      <c r="J72" s="29">
        <f t="shared" si="5"/>
        <v>110</v>
      </c>
      <c r="K72" s="29">
        <f t="shared" si="6"/>
        <v>1320</v>
      </c>
      <c r="L72" s="22" t="s">
        <v>32</v>
      </c>
      <c r="M72" s="25">
        <f t="shared" si="7"/>
        <v>120</v>
      </c>
      <c r="N72" s="29">
        <f t="shared" si="8"/>
        <v>1440</v>
      </c>
      <c r="O72" s="29">
        <f t="shared" si="9"/>
        <v>120</v>
      </c>
    </row>
    <row r="73" spans="1:15">
      <c r="A73" s="17" t="s">
        <v>183</v>
      </c>
      <c r="B73" s="18">
        <v>46118</v>
      </c>
      <c r="C73" s="18">
        <v>46118</v>
      </c>
      <c r="D73" s="19" t="s">
        <v>59</v>
      </c>
      <c r="E73" s="19" t="s">
        <v>21</v>
      </c>
      <c r="F73" s="19" t="s">
        <v>60</v>
      </c>
      <c r="G73" s="19" t="s">
        <v>61</v>
      </c>
      <c r="H73" s="19" t="s">
        <v>17</v>
      </c>
      <c r="I73" s="19">
        <v>10</v>
      </c>
      <c r="J73" s="28">
        <f t="shared" si="5"/>
        <v>30</v>
      </c>
      <c r="K73" s="28">
        <f t="shared" si="6"/>
        <v>300</v>
      </c>
      <c r="L73" s="19" t="s">
        <v>18</v>
      </c>
      <c r="M73" s="24">
        <f t="shared" si="7"/>
        <v>35</v>
      </c>
      <c r="N73" s="28">
        <f t="shared" si="8"/>
        <v>350</v>
      </c>
      <c r="O73" s="28">
        <f t="shared" si="9"/>
        <v>50</v>
      </c>
    </row>
    <row r="74" spans="1:15">
      <c r="A74" s="20" t="s">
        <v>184</v>
      </c>
      <c r="B74" s="21">
        <v>46118</v>
      </c>
      <c r="C74" s="21">
        <v>46119</v>
      </c>
      <c r="D74" s="22" t="s">
        <v>63</v>
      </c>
      <c r="E74" s="22" t="s">
        <v>40</v>
      </c>
      <c r="F74" s="22" t="s">
        <v>64</v>
      </c>
      <c r="G74" s="22" t="s">
        <v>65</v>
      </c>
      <c r="H74" s="22" t="s">
        <v>43</v>
      </c>
      <c r="I74" s="22">
        <v>3</v>
      </c>
      <c r="J74" s="29">
        <f t="shared" si="5"/>
        <v>950</v>
      </c>
      <c r="K74" s="29">
        <f t="shared" si="6"/>
        <v>2850</v>
      </c>
      <c r="L74" s="22" t="s">
        <v>25</v>
      </c>
      <c r="M74" s="25">
        <f t="shared" si="7"/>
        <v>1000</v>
      </c>
      <c r="N74" s="29">
        <f t="shared" si="8"/>
        <v>3000</v>
      </c>
      <c r="O74" s="29">
        <f t="shared" si="9"/>
        <v>150</v>
      </c>
    </row>
    <row r="75" spans="1:15">
      <c r="A75" s="17" t="s">
        <v>185</v>
      </c>
      <c r="B75" s="18">
        <v>46119</v>
      </c>
      <c r="C75" s="18">
        <v>46119</v>
      </c>
      <c r="D75" s="19" t="s">
        <v>80</v>
      </c>
      <c r="E75" s="19" t="s">
        <v>28</v>
      </c>
      <c r="F75" s="19" t="s">
        <v>81</v>
      </c>
      <c r="G75" s="19" t="s">
        <v>30</v>
      </c>
      <c r="H75" s="19" t="s">
        <v>43</v>
      </c>
      <c r="I75" s="19">
        <v>5</v>
      </c>
      <c r="J75" s="28">
        <f t="shared" si="5"/>
        <v>950</v>
      </c>
      <c r="K75" s="28">
        <f t="shared" si="6"/>
        <v>4750</v>
      </c>
      <c r="L75" s="19" t="s">
        <v>44</v>
      </c>
      <c r="M75" s="24">
        <f t="shared" si="7"/>
        <v>1000</v>
      </c>
      <c r="N75" s="28">
        <f t="shared" si="8"/>
        <v>5000</v>
      </c>
      <c r="O75" s="28">
        <f t="shared" si="9"/>
        <v>250</v>
      </c>
    </row>
    <row r="76" spans="1:15">
      <c r="A76" s="20" t="s">
        <v>186</v>
      </c>
      <c r="B76" s="21">
        <v>46119</v>
      </c>
      <c r="C76" s="21">
        <v>46120</v>
      </c>
      <c r="D76" s="22" t="s">
        <v>83</v>
      </c>
      <c r="E76" s="22" t="s">
        <v>21</v>
      </c>
      <c r="F76" s="22" t="s">
        <v>84</v>
      </c>
      <c r="G76" s="22" t="s">
        <v>16</v>
      </c>
      <c r="H76" s="22" t="s">
        <v>17</v>
      </c>
      <c r="I76" s="22">
        <v>3</v>
      </c>
      <c r="J76" s="29">
        <f t="shared" si="5"/>
        <v>30</v>
      </c>
      <c r="K76" s="29">
        <f t="shared" si="6"/>
        <v>90</v>
      </c>
      <c r="L76" s="22" t="s">
        <v>18</v>
      </c>
      <c r="M76" s="25">
        <f t="shared" si="7"/>
        <v>35</v>
      </c>
      <c r="N76" s="29">
        <f t="shared" si="8"/>
        <v>105</v>
      </c>
      <c r="O76" s="29">
        <f t="shared" si="9"/>
        <v>15</v>
      </c>
    </row>
    <row r="77" spans="1:15">
      <c r="A77" s="17" t="s">
        <v>187</v>
      </c>
      <c r="B77" s="18">
        <v>46120</v>
      </c>
      <c r="C77" s="18">
        <v>46120</v>
      </c>
      <c r="D77" s="19" t="s">
        <v>86</v>
      </c>
      <c r="E77" s="19" t="s">
        <v>14</v>
      </c>
      <c r="F77" s="19" t="s">
        <v>87</v>
      </c>
      <c r="G77" s="19" t="s">
        <v>42</v>
      </c>
      <c r="H77" s="19" t="s">
        <v>24</v>
      </c>
      <c r="I77" s="19">
        <v>7</v>
      </c>
      <c r="J77" s="28">
        <f t="shared" si="5"/>
        <v>20</v>
      </c>
      <c r="K77" s="28">
        <f t="shared" si="6"/>
        <v>140</v>
      </c>
      <c r="L77" s="19" t="s">
        <v>32</v>
      </c>
      <c r="M77" s="24">
        <f t="shared" si="7"/>
        <v>25</v>
      </c>
      <c r="N77" s="28">
        <f t="shared" si="8"/>
        <v>175</v>
      </c>
      <c r="O77" s="28">
        <f t="shared" si="9"/>
        <v>35</v>
      </c>
    </row>
    <row r="78" spans="1:15">
      <c r="A78" s="20" t="s">
        <v>188</v>
      </c>
      <c r="B78" s="21">
        <v>46120</v>
      </c>
      <c r="C78" s="21">
        <v>46121</v>
      </c>
      <c r="D78" s="22" t="s">
        <v>89</v>
      </c>
      <c r="E78" s="22" t="s">
        <v>40</v>
      </c>
      <c r="F78" s="22" t="s">
        <v>90</v>
      </c>
      <c r="G78" s="22" t="s">
        <v>23</v>
      </c>
      <c r="H78" s="22" t="s">
        <v>17</v>
      </c>
      <c r="I78" s="22">
        <v>4</v>
      </c>
      <c r="J78" s="29">
        <f t="shared" si="5"/>
        <v>30</v>
      </c>
      <c r="K78" s="29">
        <f t="shared" si="6"/>
        <v>120</v>
      </c>
      <c r="L78" s="22" t="s">
        <v>25</v>
      </c>
      <c r="M78" s="25">
        <f t="shared" si="7"/>
        <v>35</v>
      </c>
      <c r="N78" s="29">
        <f t="shared" si="8"/>
        <v>140</v>
      </c>
      <c r="O78" s="29">
        <f t="shared" si="9"/>
        <v>20</v>
      </c>
    </row>
    <row r="79" spans="1:15">
      <c r="A79" s="17" t="s">
        <v>189</v>
      </c>
      <c r="B79" s="18">
        <v>46121</v>
      </c>
      <c r="C79" s="18">
        <v>46121</v>
      </c>
      <c r="D79" s="19" t="s">
        <v>92</v>
      </c>
      <c r="E79" s="19" t="s">
        <v>51</v>
      </c>
      <c r="F79" s="19" t="s">
        <v>93</v>
      </c>
      <c r="G79" s="19" t="s">
        <v>36</v>
      </c>
      <c r="H79" s="19" t="s">
        <v>43</v>
      </c>
      <c r="I79" s="19">
        <v>5</v>
      </c>
      <c r="J79" s="28">
        <f t="shared" si="5"/>
        <v>950</v>
      </c>
      <c r="K79" s="28">
        <f t="shared" si="6"/>
        <v>4750</v>
      </c>
      <c r="L79" s="19" t="s">
        <v>18</v>
      </c>
      <c r="M79" s="24">
        <f t="shared" si="7"/>
        <v>1000</v>
      </c>
      <c r="N79" s="28">
        <f t="shared" si="8"/>
        <v>5000</v>
      </c>
      <c r="O79" s="28">
        <f t="shared" si="9"/>
        <v>250</v>
      </c>
    </row>
    <row r="80" spans="1:15">
      <c r="A80" s="20" t="s">
        <v>190</v>
      </c>
      <c r="B80" s="21">
        <v>46121</v>
      </c>
      <c r="C80" s="21">
        <v>46122</v>
      </c>
      <c r="D80" s="22" t="s">
        <v>95</v>
      </c>
      <c r="E80" s="22" t="s">
        <v>47</v>
      </c>
      <c r="F80" s="22" t="s">
        <v>96</v>
      </c>
      <c r="G80" s="22" t="s">
        <v>56</v>
      </c>
      <c r="H80" s="22" t="s">
        <v>57</v>
      </c>
      <c r="I80" s="22">
        <v>8</v>
      </c>
      <c r="J80" s="29">
        <f t="shared" si="5"/>
        <v>120</v>
      </c>
      <c r="K80" s="29">
        <f t="shared" si="6"/>
        <v>960</v>
      </c>
      <c r="L80" s="22" t="s">
        <v>44</v>
      </c>
      <c r="M80" s="25">
        <f t="shared" si="7"/>
        <v>130</v>
      </c>
      <c r="N80" s="29">
        <f t="shared" si="8"/>
        <v>1040</v>
      </c>
      <c r="O80" s="29">
        <f t="shared" si="9"/>
        <v>80</v>
      </c>
    </row>
    <row r="81" spans="1:15">
      <c r="A81" s="17" t="s">
        <v>191</v>
      </c>
      <c r="B81" s="18">
        <v>46122</v>
      </c>
      <c r="C81" s="18">
        <v>46122</v>
      </c>
      <c r="D81" s="19" t="s">
        <v>98</v>
      </c>
      <c r="E81" s="19" t="s">
        <v>21</v>
      </c>
      <c r="F81" s="19" t="s">
        <v>99</v>
      </c>
      <c r="G81" s="19" t="s">
        <v>42</v>
      </c>
      <c r="H81" s="19" t="s">
        <v>43</v>
      </c>
      <c r="I81" s="19">
        <v>7</v>
      </c>
      <c r="J81" s="28">
        <f t="shared" si="5"/>
        <v>950</v>
      </c>
      <c r="K81" s="28">
        <f t="shared" si="6"/>
        <v>6650</v>
      </c>
      <c r="L81" s="19" t="s">
        <v>18</v>
      </c>
      <c r="M81" s="24">
        <f t="shared" si="7"/>
        <v>1000</v>
      </c>
      <c r="N81" s="28">
        <f t="shared" si="8"/>
        <v>7000</v>
      </c>
      <c r="O81" s="28">
        <f t="shared" si="9"/>
        <v>350</v>
      </c>
    </row>
    <row r="82" spans="1:15">
      <c r="A82" s="20" t="s">
        <v>192</v>
      </c>
      <c r="B82" s="21">
        <v>46122</v>
      </c>
      <c r="C82" s="21">
        <v>46123</v>
      </c>
      <c r="D82" s="22" t="s">
        <v>101</v>
      </c>
      <c r="E82" s="22" t="s">
        <v>14</v>
      </c>
      <c r="F82" s="22" t="s">
        <v>102</v>
      </c>
      <c r="G82" s="22" t="s">
        <v>30</v>
      </c>
      <c r="H82" s="22" t="s">
        <v>31</v>
      </c>
      <c r="I82" s="22">
        <v>7</v>
      </c>
      <c r="J82" s="29">
        <f t="shared" si="5"/>
        <v>110</v>
      </c>
      <c r="K82" s="29">
        <f t="shared" si="6"/>
        <v>770</v>
      </c>
      <c r="L82" s="22" t="s">
        <v>25</v>
      </c>
      <c r="M82" s="25">
        <f t="shared" si="7"/>
        <v>120</v>
      </c>
      <c r="N82" s="29">
        <f t="shared" si="8"/>
        <v>840</v>
      </c>
      <c r="O82" s="29">
        <f t="shared" si="9"/>
        <v>70</v>
      </c>
    </row>
    <row r="83" spans="1:15">
      <c r="A83" s="17" t="s">
        <v>193</v>
      </c>
      <c r="B83" s="18">
        <v>46123</v>
      </c>
      <c r="C83" s="18">
        <v>46123</v>
      </c>
      <c r="D83" s="19" t="s">
        <v>104</v>
      </c>
      <c r="E83" s="19" t="s">
        <v>40</v>
      </c>
      <c r="F83" s="19" t="s">
        <v>105</v>
      </c>
      <c r="G83" s="19" t="s">
        <v>16</v>
      </c>
      <c r="H83" s="19" t="s">
        <v>24</v>
      </c>
      <c r="I83" s="19">
        <v>9</v>
      </c>
      <c r="J83" s="28">
        <f t="shared" si="5"/>
        <v>20</v>
      </c>
      <c r="K83" s="28">
        <f t="shared" si="6"/>
        <v>180</v>
      </c>
      <c r="L83" s="19" t="s">
        <v>32</v>
      </c>
      <c r="M83" s="24">
        <f t="shared" si="7"/>
        <v>25</v>
      </c>
      <c r="N83" s="28">
        <f t="shared" si="8"/>
        <v>225</v>
      </c>
      <c r="O83" s="28">
        <f t="shared" si="9"/>
        <v>45</v>
      </c>
    </row>
    <row r="84" spans="1:15">
      <c r="A84" s="20" t="s">
        <v>194</v>
      </c>
      <c r="B84" s="21">
        <v>46123</v>
      </c>
      <c r="C84" s="21">
        <v>46124</v>
      </c>
      <c r="D84" s="22" t="s">
        <v>107</v>
      </c>
      <c r="E84" s="22" t="s">
        <v>28</v>
      </c>
      <c r="F84" s="22" t="s">
        <v>108</v>
      </c>
      <c r="G84" s="22" t="s">
        <v>65</v>
      </c>
      <c r="H84" s="22" t="s">
        <v>66</v>
      </c>
      <c r="I84" s="22">
        <v>5</v>
      </c>
      <c r="J84" s="29">
        <f t="shared" si="5"/>
        <v>220</v>
      </c>
      <c r="K84" s="29">
        <f t="shared" si="6"/>
        <v>1100</v>
      </c>
      <c r="L84" s="22" t="s">
        <v>18</v>
      </c>
      <c r="M84" s="25">
        <f t="shared" si="7"/>
        <v>230</v>
      </c>
      <c r="N84" s="29">
        <f t="shared" si="8"/>
        <v>1150</v>
      </c>
      <c r="O84" s="29">
        <f t="shared" si="9"/>
        <v>50</v>
      </c>
    </row>
    <row r="85" spans="1:15">
      <c r="A85" s="17" t="s">
        <v>195</v>
      </c>
      <c r="B85" s="18">
        <v>46124</v>
      </c>
      <c r="C85" s="18">
        <v>46124</v>
      </c>
      <c r="D85" s="19" t="s">
        <v>110</v>
      </c>
      <c r="E85" s="19" t="s">
        <v>21</v>
      </c>
      <c r="F85" s="19" t="s">
        <v>111</v>
      </c>
      <c r="G85" s="19" t="s">
        <v>61</v>
      </c>
      <c r="H85" s="19" t="s">
        <v>17</v>
      </c>
      <c r="I85" s="19">
        <v>7</v>
      </c>
      <c r="J85" s="28">
        <f t="shared" si="5"/>
        <v>30</v>
      </c>
      <c r="K85" s="28">
        <f t="shared" si="6"/>
        <v>210</v>
      </c>
      <c r="L85" s="19" t="s">
        <v>44</v>
      </c>
      <c r="M85" s="24">
        <f t="shared" si="7"/>
        <v>35</v>
      </c>
      <c r="N85" s="28">
        <f t="shared" si="8"/>
        <v>245</v>
      </c>
      <c r="O85" s="28">
        <f t="shared" si="9"/>
        <v>35</v>
      </c>
    </row>
    <row r="86" spans="1:15">
      <c r="A86" s="20" t="s">
        <v>196</v>
      </c>
      <c r="B86" s="21">
        <v>46124</v>
      </c>
      <c r="C86" s="21">
        <v>46125</v>
      </c>
      <c r="D86" s="22" t="s">
        <v>113</v>
      </c>
      <c r="E86" s="22" t="s">
        <v>14</v>
      </c>
      <c r="F86" s="22" t="s">
        <v>114</v>
      </c>
      <c r="G86" s="22" t="s">
        <v>23</v>
      </c>
      <c r="H86" s="22" t="s">
        <v>24</v>
      </c>
      <c r="I86" s="22">
        <v>20</v>
      </c>
      <c r="J86" s="29">
        <f t="shared" si="5"/>
        <v>20</v>
      </c>
      <c r="K86" s="29">
        <f t="shared" si="6"/>
        <v>400</v>
      </c>
      <c r="L86" s="22" t="s">
        <v>18</v>
      </c>
      <c r="M86" s="25">
        <f t="shared" si="7"/>
        <v>25</v>
      </c>
      <c r="N86" s="29">
        <f t="shared" si="8"/>
        <v>500</v>
      </c>
      <c r="O86" s="29">
        <f t="shared" si="9"/>
        <v>100</v>
      </c>
    </row>
    <row r="87" spans="1:15">
      <c r="A87" s="17" t="s">
        <v>197</v>
      </c>
      <c r="B87" s="18">
        <v>46125</v>
      </c>
      <c r="C87" s="18">
        <v>46125</v>
      </c>
      <c r="D87" s="19" t="s">
        <v>116</v>
      </c>
      <c r="E87" s="19" t="s">
        <v>40</v>
      </c>
      <c r="F87" s="19" t="s">
        <v>117</v>
      </c>
      <c r="G87" s="19" t="s">
        <v>36</v>
      </c>
      <c r="H87" s="19" t="s">
        <v>37</v>
      </c>
      <c r="I87" s="19">
        <v>4</v>
      </c>
      <c r="J87" s="28">
        <f t="shared" si="5"/>
        <v>180</v>
      </c>
      <c r="K87" s="28">
        <f t="shared" si="6"/>
        <v>720</v>
      </c>
      <c r="L87" s="19" t="s">
        <v>25</v>
      </c>
      <c r="M87" s="24">
        <f t="shared" si="7"/>
        <v>200</v>
      </c>
      <c r="N87" s="28">
        <f t="shared" si="8"/>
        <v>800</v>
      </c>
      <c r="O87" s="28">
        <f t="shared" si="9"/>
        <v>80</v>
      </c>
    </row>
    <row r="88" spans="1:15">
      <c r="A88" s="20" t="s">
        <v>198</v>
      </c>
      <c r="B88" s="21">
        <v>46125</v>
      </c>
      <c r="C88" s="21">
        <v>46126</v>
      </c>
      <c r="D88" s="22" t="s">
        <v>119</v>
      </c>
      <c r="E88" s="22" t="s">
        <v>51</v>
      </c>
      <c r="F88" s="22" t="s">
        <v>120</v>
      </c>
      <c r="G88" s="22" t="s">
        <v>16</v>
      </c>
      <c r="H88" s="22" t="s">
        <v>17</v>
      </c>
      <c r="I88" s="22">
        <v>6</v>
      </c>
      <c r="J88" s="29">
        <f t="shared" si="5"/>
        <v>30</v>
      </c>
      <c r="K88" s="29">
        <f t="shared" si="6"/>
        <v>180</v>
      </c>
      <c r="L88" s="22" t="s">
        <v>32</v>
      </c>
      <c r="M88" s="25">
        <f t="shared" si="7"/>
        <v>35</v>
      </c>
      <c r="N88" s="29">
        <f t="shared" si="8"/>
        <v>210</v>
      </c>
      <c r="O88" s="29">
        <f t="shared" si="9"/>
        <v>30</v>
      </c>
    </row>
    <row r="89" spans="1:15">
      <c r="A89" s="17" t="s">
        <v>199</v>
      </c>
      <c r="B89" s="18">
        <v>46126</v>
      </c>
      <c r="C89" s="18">
        <v>46126</v>
      </c>
      <c r="D89" s="19" t="s">
        <v>122</v>
      </c>
      <c r="E89" s="19" t="s">
        <v>47</v>
      </c>
      <c r="F89" s="19" t="s">
        <v>123</v>
      </c>
      <c r="G89" s="19" t="s">
        <v>42</v>
      </c>
      <c r="H89" s="19" t="s">
        <v>24</v>
      </c>
      <c r="I89" s="19">
        <v>4</v>
      </c>
      <c r="J89" s="28">
        <f t="shared" si="5"/>
        <v>20</v>
      </c>
      <c r="K89" s="28">
        <f t="shared" si="6"/>
        <v>80</v>
      </c>
      <c r="L89" s="19" t="s">
        <v>18</v>
      </c>
      <c r="M89" s="24">
        <f t="shared" si="7"/>
        <v>25</v>
      </c>
      <c r="N89" s="28">
        <f t="shared" si="8"/>
        <v>100</v>
      </c>
      <c r="O89" s="28">
        <f t="shared" si="9"/>
        <v>20</v>
      </c>
    </row>
    <row r="90" spans="1:15">
      <c r="A90" s="20" t="s">
        <v>200</v>
      </c>
      <c r="B90" s="21">
        <v>46126</v>
      </c>
      <c r="C90" s="21">
        <v>46127</v>
      </c>
      <c r="D90" s="22" t="s">
        <v>13</v>
      </c>
      <c r="E90" s="22" t="s">
        <v>14</v>
      </c>
      <c r="F90" s="22" t="s">
        <v>15</v>
      </c>
      <c r="G90" s="22" t="s">
        <v>16</v>
      </c>
      <c r="H90" s="22" t="s">
        <v>57</v>
      </c>
      <c r="I90" s="22">
        <v>5</v>
      </c>
      <c r="J90" s="29">
        <f t="shared" si="5"/>
        <v>120</v>
      </c>
      <c r="K90" s="29">
        <f t="shared" si="6"/>
        <v>600</v>
      </c>
      <c r="L90" s="22" t="s">
        <v>18</v>
      </c>
      <c r="M90" s="25">
        <f t="shared" si="7"/>
        <v>130</v>
      </c>
      <c r="N90" s="29">
        <f t="shared" si="8"/>
        <v>650</v>
      </c>
      <c r="O90" s="29">
        <f t="shared" si="9"/>
        <v>50</v>
      </c>
    </row>
    <row r="91" spans="1:15">
      <c r="A91" s="17" t="s">
        <v>201</v>
      </c>
      <c r="B91" s="18">
        <v>46127</v>
      </c>
      <c r="C91" s="18">
        <v>46127</v>
      </c>
      <c r="D91" s="19" t="s">
        <v>20</v>
      </c>
      <c r="E91" s="19" t="s">
        <v>21</v>
      </c>
      <c r="F91" s="19" t="s">
        <v>22</v>
      </c>
      <c r="G91" s="19" t="s">
        <v>23</v>
      </c>
      <c r="H91" s="19" t="s">
        <v>53</v>
      </c>
      <c r="I91" s="19">
        <v>6</v>
      </c>
      <c r="J91" s="28">
        <f t="shared" si="5"/>
        <v>30</v>
      </c>
      <c r="K91" s="28">
        <f t="shared" si="6"/>
        <v>180</v>
      </c>
      <c r="L91" s="19" t="s">
        <v>25</v>
      </c>
      <c r="M91" s="24">
        <f t="shared" si="7"/>
        <v>40</v>
      </c>
      <c r="N91" s="28">
        <f t="shared" si="8"/>
        <v>240</v>
      </c>
      <c r="O91" s="28">
        <f t="shared" si="9"/>
        <v>60</v>
      </c>
    </row>
    <row r="92" spans="1:15">
      <c r="A92" s="20" t="s">
        <v>202</v>
      </c>
      <c r="B92" s="21">
        <v>46127</v>
      </c>
      <c r="C92" s="21">
        <v>46128</v>
      </c>
      <c r="D92" s="22" t="s">
        <v>27</v>
      </c>
      <c r="E92" s="22" t="s">
        <v>28</v>
      </c>
      <c r="F92" s="22" t="s">
        <v>29</v>
      </c>
      <c r="G92" s="22" t="s">
        <v>30</v>
      </c>
      <c r="H92" s="22" t="s">
        <v>57</v>
      </c>
      <c r="I92" s="22">
        <v>3</v>
      </c>
      <c r="J92" s="29">
        <f t="shared" si="5"/>
        <v>120</v>
      </c>
      <c r="K92" s="29">
        <f t="shared" si="6"/>
        <v>360</v>
      </c>
      <c r="L92" s="22" t="s">
        <v>32</v>
      </c>
      <c r="M92" s="25">
        <f t="shared" si="7"/>
        <v>130</v>
      </c>
      <c r="N92" s="29">
        <f t="shared" si="8"/>
        <v>390</v>
      </c>
      <c r="O92" s="29">
        <f t="shared" si="9"/>
        <v>30</v>
      </c>
    </row>
    <row r="93" spans="1:15">
      <c r="A93" s="17" t="s">
        <v>203</v>
      </c>
      <c r="B93" s="18">
        <v>46128</v>
      </c>
      <c r="C93" s="18">
        <v>46128</v>
      </c>
      <c r="D93" s="19" t="s">
        <v>34</v>
      </c>
      <c r="E93" s="19" t="s">
        <v>14</v>
      </c>
      <c r="F93" s="19" t="s">
        <v>35</v>
      </c>
      <c r="G93" s="19" t="s">
        <v>36</v>
      </c>
      <c r="H93" s="19" t="s">
        <v>17</v>
      </c>
      <c r="I93" s="19">
        <v>12</v>
      </c>
      <c r="J93" s="28">
        <f t="shared" si="5"/>
        <v>30</v>
      </c>
      <c r="K93" s="28">
        <f t="shared" si="6"/>
        <v>360</v>
      </c>
      <c r="L93" s="19" t="s">
        <v>18</v>
      </c>
      <c r="M93" s="24">
        <f t="shared" si="7"/>
        <v>35</v>
      </c>
      <c r="N93" s="28">
        <f t="shared" si="8"/>
        <v>420</v>
      </c>
      <c r="O93" s="28">
        <f t="shared" si="9"/>
        <v>60</v>
      </c>
    </row>
    <row r="94" spans="1:15">
      <c r="A94" s="20" t="s">
        <v>204</v>
      </c>
      <c r="B94" s="21">
        <v>46128</v>
      </c>
      <c r="C94" s="21">
        <v>46129</v>
      </c>
      <c r="D94" s="22" t="s">
        <v>39</v>
      </c>
      <c r="E94" s="22" t="s">
        <v>40</v>
      </c>
      <c r="F94" s="22" t="s">
        <v>41</v>
      </c>
      <c r="G94" s="22" t="s">
        <v>42</v>
      </c>
      <c r="H94" s="22" t="s">
        <v>43</v>
      </c>
      <c r="I94" s="22">
        <v>2</v>
      </c>
      <c r="J94" s="29">
        <f t="shared" si="5"/>
        <v>950</v>
      </c>
      <c r="K94" s="29">
        <f t="shared" si="6"/>
        <v>1900</v>
      </c>
      <c r="L94" s="22" t="s">
        <v>44</v>
      </c>
      <c r="M94" s="25">
        <f t="shared" si="7"/>
        <v>1000</v>
      </c>
      <c r="N94" s="29">
        <f t="shared" si="8"/>
        <v>2000</v>
      </c>
      <c r="O94" s="29">
        <f t="shared" si="9"/>
        <v>100</v>
      </c>
    </row>
    <row r="95" spans="1:15">
      <c r="A95" s="17" t="s">
        <v>205</v>
      </c>
      <c r="B95" s="18">
        <v>46129</v>
      </c>
      <c r="C95" s="18">
        <v>46129</v>
      </c>
      <c r="D95" s="19" t="s">
        <v>46</v>
      </c>
      <c r="E95" s="19" t="s">
        <v>47</v>
      </c>
      <c r="F95" s="19" t="s">
        <v>48</v>
      </c>
      <c r="G95" s="19" t="s">
        <v>16</v>
      </c>
      <c r="H95" s="19" t="s">
        <v>17</v>
      </c>
      <c r="I95" s="19">
        <v>4</v>
      </c>
      <c r="J95" s="28">
        <f t="shared" si="5"/>
        <v>30</v>
      </c>
      <c r="K95" s="28">
        <f t="shared" si="6"/>
        <v>120</v>
      </c>
      <c r="L95" s="19" t="s">
        <v>25</v>
      </c>
      <c r="M95" s="24">
        <f t="shared" si="7"/>
        <v>35</v>
      </c>
      <c r="N95" s="28">
        <f t="shared" si="8"/>
        <v>140</v>
      </c>
      <c r="O95" s="28">
        <f t="shared" si="9"/>
        <v>20</v>
      </c>
    </row>
    <row r="96" spans="1:15">
      <c r="A96" s="20" t="s">
        <v>206</v>
      </c>
      <c r="B96" s="21">
        <v>46129</v>
      </c>
      <c r="C96" s="21">
        <v>46130</v>
      </c>
      <c r="D96" s="22" t="s">
        <v>50</v>
      </c>
      <c r="E96" s="22" t="s">
        <v>51</v>
      </c>
      <c r="F96" s="22" t="s">
        <v>52</v>
      </c>
      <c r="G96" s="22" t="s">
        <v>23</v>
      </c>
      <c r="H96" s="22" t="s">
        <v>17</v>
      </c>
      <c r="I96" s="22">
        <v>6</v>
      </c>
      <c r="J96" s="29">
        <f t="shared" si="5"/>
        <v>30</v>
      </c>
      <c r="K96" s="29">
        <f t="shared" si="6"/>
        <v>180</v>
      </c>
      <c r="L96" s="22" t="s">
        <v>18</v>
      </c>
      <c r="M96" s="25">
        <f t="shared" si="7"/>
        <v>35</v>
      </c>
      <c r="N96" s="29">
        <f t="shared" si="8"/>
        <v>210</v>
      </c>
      <c r="O96" s="29">
        <f t="shared" si="9"/>
        <v>30</v>
      </c>
    </row>
    <row r="97" spans="1:15">
      <c r="A97" s="17" t="s">
        <v>207</v>
      </c>
      <c r="B97" s="18">
        <v>46130</v>
      </c>
      <c r="C97" s="18">
        <v>46130</v>
      </c>
      <c r="D97" s="19" t="s">
        <v>162</v>
      </c>
      <c r="E97" s="19" t="s">
        <v>14</v>
      </c>
      <c r="F97" s="19" t="s">
        <v>55</v>
      </c>
      <c r="G97" s="19" t="s">
        <v>56</v>
      </c>
      <c r="H97" s="19" t="s">
        <v>31</v>
      </c>
      <c r="I97" s="19">
        <v>25</v>
      </c>
      <c r="J97" s="28">
        <f t="shared" si="5"/>
        <v>110</v>
      </c>
      <c r="K97" s="28">
        <f t="shared" si="6"/>
        <v>2750</v>
      </c>
      <c r="L97" s="19" t="s">
        <v>32</v>
      </c>
      <c r="M97" s="24">
        <f t="shared" si="7"/>
        <v>120</v>
      </c>
      <c r="N97" s="28">
        <f t="shared" si="8"/>
        <v>3000</v>
      </c>
      <c r="O97" s="28">
        <f t="shared" si="9"/>
        <v>250</v>
      </c>
    </row>
    <row r="98" spans="1:15">
      <c r="A98" s="20" t="s">
        <v>208</v>
      </c>
      <c r="B98" s="21">
        <v>46130</v>
      </c>
      <c r="C98" s="21">
        <v>46131</v>
      </c>
      <c r="D98" s="22" t="s">
        <v>59</v>
      </c>
      <c r="E98" s="22" t="s">
        <v>21</v>
      </c>
      <c r="F98" s="22" t="s">
        <v>60</v>
      </c>
      <c r="G98" s="22" t="s">
        <v>61</v>
      </c>
      <c r="H98" s="22" t="s">
        <v>17</v>
      </c>
      <c r="I98" s="22">
        <v>15</v>
      </c>
      <c r="J98" s="29">
        <f t="shared" si="5"/>
        <v>30</v>
      </c>
      <c r="K98" s="29">
        <f t="shared" si="6"/>
        <v>450</v>
      </c>
      <c r="L98" s="22" t="s">
        <v>18</v>
      </c>
      <c r="M98" s="25">
        <f t="shared" si="7"/>
        <v>35</v>
      </c>
      <c r="N98" s="29">
        <f t="shared" si="8"/>
        <v>525</v>
      </c>
      <c r="O98" s="29">
        <f t="shared" si="9"/>
        <v>75</v>
      </c>
    </row>
    <row r="99" spans="1:15">
      <c r="A99" s="17" t="s">
        <v>209</v>
      </c>
      <c r="B99" s="18">
        <v>46131</v>
      </c>
      <c r="C99" s="18">
        <v>46131</v>
      </c>
      <c r="D99" s="19" t="s">
        <v>63</v>
      </c>
      <c r="E99" s="19" t="s">
        <v>40</v>
      </c>
      <c r="F99" s="19" t="s">
        <v>64</v>
      </c>
      <c r="G99" s="19" t="s">
        <v>65</v>
      </c>
      <c r="H99" s="19" t="s">
        <v>43</v>
      </c>
      <c r="I99" s="19">
        <v>5</v>
      </c>
      <c r="J99" s="28">
        <f t="shared" si="5"/>
        <v>950</v>
      </c>
      <c r="K99" s="28">
        <f t="shared" si="6"/>
        <v>4750</v>
      </c>
      <c r="L99" s="19" t="s">
        <v>25</v>
      </c>
      <c r="M99" s="24">
        <f t="shared" si="7"/>
        <v>1000</v>
      </c>
      <c r="N99" s="28">
        <f t="shared" si="8"/>
        <v>5000</v>
      </c>
      <c r="O99" s="28">
        <f t="shared" si="9"/>
        <v>250</v>
      </c>
    </row>
    <row r="100" spans="1:15">
      <c r="A100" s="20" t="s">
        <v>210</v>
      </c>
      <c r="B100" s="21">
        <v>46131</v>
      </c>
      <c r="C100" s="21">
        <v>46132</v>
      </c>
      <c r="D100" s="22" t="s">
        <v>80</v>
      </c>
      <c r="E100" s="22" t="s">
        <v>28</v>
      </c>
      <c r="F100" s="22" t="s">
        <v>81</v>
      </c>
      <c r="G100" s="22" t="s">
        <v>30</v>
      </c>
      <c r="H100" s="22" t="s">
        <v>43</v>
      </c>
      <c r="I100" s="22">
        <v>6</v>
      </c>
      <c r="J100" s="29">
        <f t="shared" si="5"/>
        <v>950</v>
      </c>
      <c r="K100" s="29">
        <f t="shared" si="6"/>
        <v>5700</v>
      </c>
      <c r="L100" s="22" t="s">
        <v>44</v>
      </c>
      <c r="M100" s="25">
        <f t="shared" si="7"/>
        <v>1000</v>
      </c>
      <c r="N100" s="29">
        <f t="shared" si="8"/>
        <v>6000</v>
      </c>
      <c r="O100" s="29">
        <f t="shared" si="9"/>
        <v>300</v>
      </c>
    </row>
    <row r="101" spans="1:15">
      <c r="A101" s="17" t="s">
        <v>211</v>
      </c>
      <c r="B101" s="18">
        <v>46132</v>
      </c>
      <c r="C101" s="18">
        <v>46132</v>
      </c>
      <c r="D101" s="19" t="s">
        <v>83</v>
      </c>
      <c r="E101" s="19" t="s">
        <v>21</v>
      </c>
      <c r="F101" s="19" t="s">
        <v>84</v>
      </c>
      <c r="G101" s="19" t="s">
        <v>16</v>
      </c>
      <c r="H101" s="19" t="s">
        <v>57</v>
      </c>
      <c r="I101" s="19">
        <v>4</v>
      </c>
      <c r="J101" s="28">
        <f t="shared" ref="J101:J164" si="10">IF(H101="Milk",30,IF(H101="Chips",20,IF(H101="Juice",110,IF(H101="Shampoo",180,IF(H101="Rice",950,IF(H101="Cookies",30,IF(H101="Apple",120,IF(H101="Tomato",40,IF(H101="Nuggets",220,0)))))))))</f>
        <v>120</v>
      </c>
      <c r="K101" s="28">
        <f t="shared" ref="K101:K164" si="11">J101*I101</f>
        <v>480</v>
      </c>
      <c r="L101" s="19" t="s">
        <v>18</v>
      </c>
      <c r="M101" s="24">
        <f t="shared" ref="M101:M164" si="12">IF(H101="Milk",35,IF(H101="Chips",25,IF(H101="Juice",120,IF(H101="Shampoo",200,IF(H101="Rice",1000,IF(H101="Cookies",40,IF(H101="Apple",130,IF(H101="Tomato",50,IF(H101="Nuggets",230,0)))))))))</f>
        <v>130</v>
      </c>
      <c r="N101" s="28">
        <f t="shared" ref="N101:N164" si="13">M101*I101</f>
        <v>520</v>
      </c>
      <c r="O101" s="28">
        <f t="shared" ref="O101:O164" si="14">N101-K101</f>
        <v>40</v>
      </c>
    </row>
    <row r="102" spans="1:15">
      <c r="A102" s="20" t="s">
        <v>212</v>
      </c>
      <c r="B102" s="21">
        <v>46132</v>
      </c>
      <c r="C102" s="21">
        <v>46133</v>
      </c>
      <c r="D102" s="22" t="s">
        <v>86</v>
      </c>
      <c r="E102" s="22" t="s">
        <v>14</v>
      </c>
      <c r="F102" s="22" t="s">
        <v>87</v>
      </c>
      <c r="G102" s="22" t="s">
        <v>42</v>
      </c>
      <c r="H102" s="22" t="s">
        <v>24</v>
      </c>
      <c r="I102" s="22">
        <v>8</v>
      </c>
      <c r="J102" s="29">
        <f t="shared" si="10"/>
        <v>20</v>
      </c>
      <c r="K102" s="29">
        <f t="shared" si="11"/>
        <v>160</v>
      </c>
      <c r="L102" s="22" t="s">
        <v>32</v>
      </c>
      <c r="M102" s="25">
        <f t="shared" si="12"/>
        <v>25</v>
      </c>
      <c r="N102" s="29">
        <f t="shared" si="13"/>
        <v>200</v>
      </c>
      <c r="O102" s="29">
        <f t="shared" si="14"/>
        <v>40</v>
      </c>
    </row>
    <row r="103" spans="1:15">
      <c r="A103" s="17" t="s">
        <v>213</v>
      </c>
      <c r="B103" s="18">
        <v>46133</v>
      </c>
      <c r="C103" s="18">
        <v>46133</v>
      </c>
      <c r="D103" s="19" t="s">
        <v>89</v>
      </c>
      <c r="E103" s="19" t="s">
        <v>40</v>
      </c>
      <c r="F103" s="19" t="s">
        <v>90</v>
      </c>
      <c r="G103" s="19" t="s">
        <v>23</v>
      </c>
      <c r="H103" s="19" t="s">
        <v>24</v>
      </c>
      <c r="I103" s="19">
        <v>25</v>
      </c>
      <c r="J103" s="28">
        <f t="shared" si="10"/>
        <v>20</v>
      </c>
      <c r="K103" s="28">
        <f t="shared" si="11"/>
        <v>500</v>
      </c>
      <c r="L103" s="19" t="s">
        <v>25</v>
      </c>
      <c r="M103" s="24">
        <f t="shared" si="12"/>
        <v>25</v>
      </c>
      <c r="N103" s="28">
        <f t="shared" si="13"/>
        <v>625</v>
      </c>
      <c r="O103" s="28">
        <f t="shared" si="14"/>
        <v>125</v>
      </c>
    </row>
    <row r="104" spans="1:15">
      <c r="A104" s="20" t="s">
        <v>214</v>
      </c>
      <c r="B104" s="21">
        <v>46133</v>
      </c>
      <c r="C104" s="21">
        <v>46134</v>
      </c>
      <c r="D104" s="22" t="s">
        <v>92</v>
      </c>
      <c r="E104" s="22" t="s">
        <v>51</v>
      </c>
      <c r="F104" s="22" t="s">
        <v>93</v>
      </c>
      <c r="G104" s="22" t="s">
        <v>36</v>
      </c>
      <c r="H104" s="22" t="s">
        <v>43</v>
      </c>
      <c r="I104" s="22">
        <v>6</v>
      </c>
      <c r="J104" s="29">
        <f t="shared" si="10"/>
        <v>950</v>
      </c>
      <c r="K104" s="29">
        <f t="shared" si="11"/>
        <v>5700</v>
      </c>
      <c r="L104" s="22" t="s">
        <v>18</v>
      </c>
      <c r="M104" s="25">
        <f t="shared" si="12"/>
        <v>1000</v>
      </c>
      <c r="N104" s="29">
        <f t="shared" si="13"/>
        <v>6000</v>
      </c>
      <c r="O104" s="29">
        <f t="shared" si="14"/>
        <v>300</v>
      </c>
    </row>
    <row r="105" spans="1:15">
      <c r="A105" s="17" t="s">
        <v>215</v>
      </c>
      <c r="B105" s="18">
        <v>46134</v>
      </c>
      <c r="C105" s="18">
        <v>46134</v>
      </c>
      <c r="D105" s="19" t="s">
        <v>95</v>
      </c>
      <c r="E105" s="19" t="s">
        <v>47</v>
      </c>
      <c r="F105" s="19" t="s">
        <v>96</v>
      </c>
      <c r="G105" s="19" t="s">
        <v>56</v>
      </c>
      <c r="H105" s="19" t="s">
        <v>57</v>
      </c>
      <c r="I105" s="19">
        <v>9</v>
      </c>
      <c r="J105" s="28">
        <f t="shared" si="10"/>
        <v>120</v>
      </c>
      <c r="K105" s="28">
        <f t="shared" si="11"/>
        <v>1080</v>
      </c>
      <c r="L105" s="19" t="s">
        <v>44</v>
      </c>
      <c r="M105" s="24">
        <f t="shared" si="12"/>
        <v>130</v>
      </c>
      <c r="N105" s="28">
        <f t="shared" si="13"/>
        <v>1170</v>
      </c>
      <c r="O105" s="28">
        <f t="shared" si="14"/>
        <v>90</v>
      </c>
    </row>
    <row r="106" spans="1:15">
      <c r="A106" s="20" t="s">
        <v>216</v>
      </c>
      <c r="B106" s="21">
        <v>46134</v>
      </c>
      <c r="C106" s="21">
        <v>46135</v>
      </c>
      <c r="D106" s="22" t="s">
        <v>98</v>
      </c>
      <c r="E106" s="22" t="s">
        <v>21</v>
      </c>
      <c r="F106" s="22" t="s">
        <v>99</v>
      </c>
      <c r="G106" s="22" t="s">
        <v>42</v>
      </c>
      <c r="H106" s="22" t="s">
        <v>43</v>
      </c>
      <c r="I106" s="22">
        <v>8</v>
      </c>
      <c r="J106" s="29">
        <f t="shared" si="10"/>
        <v>950</v>
      </c>
      <c r="K106" s="29">
        <f t="shared" si="11"/>
        <v>7600</v>
      </c>
      <c r="L106" s="22" t="s">
        <v>18</v>
      </c>
      <c r="M106" s="25">
        <f t="shared" si="12"/>
        <v>1000</v>
      </c>
      <c r="N106" s="29">
        <f t="shared" si="13"/>
        <v>8000</v>
      </c>
      <c r="O106" s="29">
        <f t="shared" si="14"/>
        <v>400</v>
      </c>
    </row>
    <row r="107" spans="1:15">
      <c r="A107" s="17" t="s">
        <v>217</v>
      </c>
      <c r="B107" s="18">
        <v>46135</v>
      </c>
      <c r="C107" s="18">
        <v>46135</v>
      </c>
      <c r="D107" s="19" t="s">
        <v>101</v>
      </c>
      <c r="E107" s="19" t="s">
        <v>14</v>
      </c>
      <c r="F107" s="19" t="s">
        <v>102</v>
      </c>
      <c r="G107" s="19" t="s">
        <v>30</v>
      </c>
      <c r="H107" s="19" t="s">
        <v>31</v>
      </c>
      <c r="I107" s="19">
        <v>8</v>
      </c>
      <c r="J107" s="28">
        <f t="shared" si="10"/>
        <v>110</v>
      </c>
      <c r="K107" s="28">
        <f t="shared" si="11"/>
        <v>880</v>
      </c>
      <c r="L107" s="19" t="s">
        <v>25</v>
      </c>
      <c r="M107" s="24">
        <f t="shared" si="12"/>
        <v>120</v>
      </c>
      <c r="N107" s="28">
        <f t="shared" si="13"/>
        <v>960</v>
      </c>
      <c r="O107" s="28">
        <f t="shared" si="14"/>
        <v>80</v>
      </c>
    </row>
    <row r="108" spans="1:15">
      <c r="A108" s="20" t="s">
        <v>218</v>
      </c>
      <c r="B108" s="21">
        <v>46135</v>
      </c>
      <c r="C108" s="21">
        <v>46136</v>
      </c>
      <c r="D108" s="22" t="s">
        <v>104</v>
      </c>
      <c r="E108" s="22" t="s">
        <v>40</v>
      </c>
      <c r="F108" s="22" t="s">
        <v>105</v>
      </c>
      <c r="G108" s="22" t="s">
        <v>16</v>
      </c>
      <c r="H108" s="22" t="s">
        <v>24</v>
      </c>
      <c r="I108" s="22">
        <v>10</v>
      </c>
      <c r="J108" s="29">
        <f t="shared" si="10"/>
        <v>20</v>
      </c>
      <c r="K108" s="29">
        <f t="shared" si="11"/>
        <v>200</v>
      </c>
      <c r="L108" s="22" t="s">
        <v>32</v>
      </c>
      <c r="M108" s="25">
        <f t="shared" si="12"/>
        <v>25</v>
      </c>
      <c r="N108" s="29">
        <f t="shared" si="13"/>
        <v>250</v>
      </c>
      <c r="O108" s="29">
        <f t="shared" si="14"/>
        <v>50</v>
      </c>
    </row>
    <row r="109" spans="1:15">
      <c r="A109" s="17" t="s">
        <v>219</v>
      </c>
      <c r="B109" s="18">
        <v>46136</v>
      </c>
      <c r="C109" s="18">
        <v>46136</v>
      </c>
      <c r="D109" s="19" t="s">
        <v>107</v>
      </c>
      <c r="E109" s="19" t="s">
        <v>28</v>
      </c>
      <c r="F109" s="19" t="s">
        <v>108</v>
      </c>
      <c r="G109" s="19" t="s">
        <v>65</v>
      </c>
      <c r="H109" s="19" t="s">
        <v>66</v>
      </c>
      <c r="I109" s="19">
        <v>6</v>
      </c>
      <c r="J109" s="28">
        <f t="shared" si="10"/>
        <v>220</v>
      </c>
      <c r="K109" s="28">
        <f t="shared" si="11"/>
        <v>1320</v>
      </c>
      <c r="L109" s="19" t="s">
        <v>18</v>
      </c>
      <c r="M109" s="24">
        <f t="shared" si="12"/>
        <v>230</v>
      </c>
      <c r="N109" s="28">
        <f t="shared" si="13"/>
        <v>1380</v>
      </c>
      <c r="O109" s="28">
        <f t="shared" si="14"/>
        <v>60</v>
      </c>
    </row>
    <row r="110" spans="1:15">
      <c r="A110" s="20" t="s">
        <v>220</v>
      </c>
      <c r="B110" s="21">
        <v>46136</v>
      </c>
      <c r="C110" s="21">
        <v>46137</v>
      </c>
      <c r="D110" s="22" t="s">
        <v>110</v>
      </c>
      <c r="E110" s="22" t="s">
        <v>21</v>
      </c>
      <c r="F110" s="22" t="s">
        <v>111</v>
      </c>
      <c r="G110" s="22" t="s">
        <v>61</v>
      </c>
      <c r="H110" s="22" t="s">
        <v>17</v>
      </c>
      <c r="I110" s="22">
        <v>8</v>
      </c>
      <c r="J110" s="29">
        <f t="shared" si="10"/>
        <v>30</v>
      </c>
      <c r="K110" s="29">
        <f t="shared" si="11"/>
        <v>240</v>
      </c>
      <c r="L110" s="22" t="s">
        <v>44</v>
      </c>
      <c r="M110" s="25">
        <f t="shared" si="12"/>
        <v>35</v>
      </c>
      <c r="N110" s="29">
        <f t="shared" si="13"/>
        <v>280</v>
      </c>
      <c r="O110" s="29">
        <f t="shared" si="14"/>
        <v>40</v>
      </c>
    </row>
    <row r="111" spans="1:15">
      <c r="A111" s="17" t="s">
        <v>221</v>
      </c>
      <c r="B111" s="18">
        <v>46137</v>
      </c>
      <c r="C111" s="18">
        <v>46137</v>
      </c>
      <c r="D111" s="19" t="s">
        <v>113</v>
      </c>
      <c r="E111" s="19" t="s">
        <v>14</v>
      </c>
      <c r="F111" s="19" t="s">
        <v>114</v>
      </c>
      <c r="G111" s="19" t="s">
        <v>23</v>
      </c>
      <c r="H111" s="19" t="s">
        <v>24</v>
      </c>
      <c r="I111" s="19">
        <v>22</v>
      </c>
      <c r="J111" s="28">
        <f t="shared" si="10"/>
        <v>20</v>
      </c>
      <c r="K111" s="28">
        <f t="shared" si="11"/>
        <v>440</v>
      </c>
      <c r="L111" s="19" t="s">
        <v>18</v>
      </c>
      <c r="M111" s="24">
        <f t="shared" si="12"/>
        <v>25</v>
      </c>
      <c r="N111" s="28">
        <f t="shared" si="13"/>
        <v>550</v>
      </c>
      <c r="O111" s="28">
        <f t="shared" si="14"/>
        <v>110</v>
      </c>
    </row>
    <row r="112" spans="1:15">
      <c r="A112" s="20" t="s">
        <v>222</v>
      </c>
      <c r="B112" s="21">
        <v>46137</v>
      </c>
      <c r="C112" s="21">
        <v>46138</v>
      </c>
      <c r="D112" s="22" t="s">
        <v>116</v>
      </c>
      <c r="E112" s="22" t="s">
        <v>40</v>
      </c>
      <c r="F112" s="22" t="s">
        <v>117</v>
      </c>
      <c r="G112" s="22" t="s">
        <v>36</v>
      </c>
      <c r="H112" s="22" t="s">
        <v>37</v>
      </c>
      <c r="I112" s="22">
        <v>5</v>
      </c>
      <c r="J112" s="29">
        <f t="shared" si="10"/>
        <v>180</v>
      </c>
      <c r="K112" s="29">
        <f t="shared" si="11"/>
        <v>900</v>
      </c>
      <c r="L112" s="22" t="s">
        <v>25</v>
      </c>
      <c r="M112" s="25">
        <f t="shared" si="12"/>
        <v>200</v>
      </c>
      <c r="N112" s="29">
        <f t="shared" si="13"/>
        <v>1000</v>
      </c>
      <c r="O112" s="29">
        <f t="shared" si="14"/>
        <v>100</v>
      </c>
    </row>
    <row r="113" spans="1:15">
      <c r="A113" s="17" t="s">
        <v>223</v>
      </c>
      <c r="B113" s="18">
        <v>46138</v>
      </c>
      <c r="C113" s="18">
        <v>46138</v>
      </c>
      <c r="D113" s="19" t="s">
        <v>119</v>
      </c>
      <c r="E113" s="19" t="s">
        <v>51</v>
      </c>
      <c r="F113" s="19" t="s">
        <v>120</v>
      </c>
      <c r="G113" s="19" t="s">
        <v>16</v>
      </c>
      <c r="H113" s="19" t="s">
        <v>17</v>
      </c>
      <c r="I113" s="19">
        <v>7</v>
      </c>
      <c r="J113" s="28">
        <f t="shared" si="10"/>
        <v>30</v>
      </c>
      <c r="K113" s="28">
        <f t="shared" si="11"/>
        <v>210</v>
      </c>
      <c r="L113" s="19" t="s">
        <v>32</v>
      </c>
      <c r="M113" s="24">
        <f t="shared" si="12"/>
        <v>35</v>
      </c>
      <c r="N113" s="28">
        <f t="shared" si="13"/>
        <v>245</v>
      </c>
      <c r="O113" s="28">
        <f t="shared" si="14"/>
        <v>35</v>
      </c>
    </row>
    <row r="114" spans="1:15">
      <c r="A114" s="20" t="s">
        <v>224</v>
      </c>
      <c r="B114" s="21">
        <v>46138</v>
      </c>
      <c r="C114" s="21">
        <v>46139</v>
      </c>
      <c r="D114" s="22" t="s">
        <v>122</v>
      </c>
      <c r="E114" s="22" t="s">
        <v>47</v>
      </c>
      <c r="F114" s="22" t="s">
        <v>123</v>
      </c>
      <c r="G114" s="22" t="s">
        <v>42</v>
      </c>
      <c r="H114" s="22" t="s">
        <v>24</v>
      </c>
      <c r="I114" s="22">
        <v>5</v>
      </c>
      <c r="J114" s="29">
        <f t="shared" si="10"/>
        <v>20</v>
      </c>
      <c r="K114" s="29">
        <f t="shared" si="11"/>
        <v>100</v>
      </c>
      <c r="L114" s="22" t="s">
        <v>18</v>
      </c>
      <c r="M114" s="25">
        <f t="shared" si="12"/>
        <v>25</v>
      </c>
      <c r="N114" s="29">
        <f t="shared" si="13"/>
        <v>125</v>
      </c>
      <c r="O114" s="29">
        <f t="shared" si="14"/>
        <v>25</v>
      </c>
    </row>
    <row r="115" spans="1:15">
      <c r="A115" s="17" t="s">
        <v>225</v>
      </c>
      <c r="B115" s="18">
        <v>46139</v>
      </c>
      <c r="C115" s="18">
        <v>46139</v>
      </c>
      <c r="D115" s="19" t="s">
        <v>13</v>
      </c>
      <c r="E115" s="19" t="s">
        <v>14</v>
      </c>
      <c r="F115" s="19" t="s">
        <v>15</v>
      </c>
      <c r="G115" s="19" t="s">
        <v>16</v>
      </c>
      <c r="H115" s="19" t="s">
        <v>57</v>
      </c>
      <c r="I115" s="19">
        <v>6</v>
      </c>
      <c r="J115" s="28">
        <f t="shared" si="10"/>
        <v>120</v>
      </c>
      <c r="K115" s="28">
        <f t="shared" si="11"/>
        <v>720</v>
      </c>
      <c r="L115" s="19" t="s">
        <v>18</v>
      </c>
      <c r="M115" s="24">
        <f t="shared" si="12"/>
        <v>130</v>
      </c>
      <c r="N115" s="28">
        <f t="shared" si="13"/>
        <v>780</v>
      </c>
      <c r="O115" s="28">
        <f t="shared" si="14"/>
        <v>60</v>
      </c>
    </row>
    <row r="116" spans="1:15">
      <c r="A116" s="20" t="s">
        <v>226</v>
      </c>
      <c r="B116" s="21">
        <v>46139</v>
      </c>
      <c r="C116" s="21">
        <v>46140</v>
      </c>
      <c r="D116" s="22" t="s">
        <v>20</v>
      </c>
      <c r="E116" s="22" t="s">
        <v>21</v>
      </c>
      <c r="F116" s="22" t="s">
        <v>22</v>
      </c>
      <c r="G116" s="22" t="s">
        <v>23</v>
      </c>
      <c r="H116" s="22" t="s">
        <v>53</v>
      </c>
      <c r="I116" s="22">
        <v>7</v>
      </c>
      <c r="J116" s="29">
        <f t="shared" si="10"/>
        <v>30</v>
      </c>
      <c r="K116" s="29">
        <f t="shared" si="11"/>
        <v>210</v>
      </c>
      <c r="L116" s="22" t="s">
        <v>25</v>
      </c>
      <c r="M116" s="25">
        <f t="shared" si="12"/>
        <v>40</v>
      </c>
      <c r="N116" s="29">
        <f t="shared" si="13"/>
        <v>280</v>
      </c>
      <c r="O116" s="29">
        <f t="shared" si="14"/>
        <v>70</v>
      </c>
    </row>
    <row r="117" spans="1:15">
      <c r="A117" s="17" t="s">
        <v>227</v>
      </c>
      <c r="B117" s="18">
        <v>46140</v>
      </c>
      <c r="C117" s="18">
        <v>46140</v>
      </c>
      <c r="D117" s="19" t="s">
        <v>27</v>
      </c>
      <c r="E117" s="19" t="s">
        <v>28</v>
      </c>
      <c r="F117" s="19" t="s">
        <v>29</v>
      </c>
      <c r="G117" s="19" t="s">
        <v>30</v>
      </c>
      <c r="H117" s="19" t="s">
        <v>57</v>
      </c>
      <c r="I117" s="19">
        <v>4</v>
      </c>
      <c r="J117" s="28">
        <f t="shared" si="10"/>
        <v>120</v>
      </c>
      <c r="K117" s="28">
        <f t="shared" si="11"/>
        <v>480</v>
      </c>
      <c r="L117" s="19" t="s">
        <v>32</v>
      </c>
      <c r="M117" s="24">
        <f t="shared" si="12"/>
        <v>130</v>
      </c>
      <c r="N117" s="28">
        <f t="shared" si="13"/>
        <v>520</v>
      </c>
      <c r="O117" s="28">
        <f t="shared" si="14"/>
        <v>40</v>
      </c>
    </row>
    <row r="118" spans="1:15">
      <c r="A118" s="20" t="s">
        <v>228</v>
      </c>
      <c r="B118" s="21">
        <v>46140</v>
      </c>
      <c r="C118" s="21">
        <v>46141</v>
      </c>
      <c r="D118" s="22" t="s">
        <v>34</v>
      </c>
      <c r="E118" s="22" t="s">
        <v>14</v>
      </c>
      <c r="F118" s="22" t="s">
        <v>35</v>
      </c>
      <c r="G118" s="22" t="s">
        <v>36</v>
      </c>
      <c r="H118" s="22" t="s">
        <v>17</v>
      </c>
      <c r="I118" s="22">
        <v>15</v>
      </c>
      <c r="J118" s="29">
        <f t="shared" si="10"/>
        <v>30</v>
      </c>
      <c r="K118" s="29">
        <f t="shared" si="11"/>
        <v>450</v>
      </c>
      <c r="L118" s="22" t="s">
        <v>18</v>
      </c>
      <c r="M118" s="25">
        <f t="shared" si="12"/>
        <v>35</v>
      </c>
      <c r="N118" s="29">
        <f t="shared" si="13"/>
        <v>525</v>
      </c>
      <c r="O118" s="29">
        <f t="shared" si="14"/>
        <v>75</v>
      </c>
    </row>
    <row r="119" spans="1:15">
      <c r="A119" s="17" t="s">
        <v>229</v>
      </c>
      <c r="B119" s="18">
        <v>46141</v>
      </c>
      <c r="C119" s="18">
        <v>46141</v>
      </c>
      <c r="D119" s="19" t="s">
        <v>39</v>
      </c>
      <c r="E119" s="19" t="s">
        <v>40</v>
      </c>
      <c r="F119" s="19" t="s">
        <v>41</v>
      </c>
      <c r="G119" s="19" t="s">
        <v>42</v>
      </c>
      <c r="H119" s="19" t="s">
        <v>43</v>
      </c>
      <c r="I119" s="19">
        <v>3</v>
      </c>
      <c r="J119" s="28">
        <f t="shared" si="10"/>
        <v>950</v>
      </c>
      <c r="K119" s="28">
        <f t="shared" si="11"/>
        <v>2850</v>
      </c>
      <c r="L119" s="19" t="s">
        <v>44</v>
      </c>
      <c r="M119" s="24">
        <f t="shared" si="12"/>
        <v>1000</v>
      </c>
      <c r="N119" s="28">
        <f t="shared" si="13"/>
        <v>3000</v>
      </c>
      <c r="O119" s="28">
        <f t="shared" si="14"/>
        <v>150</v>
      </c>
    </row>
    <row r="120" spans="1:15">
      <c r="A120" s="20" t="s">
        <v>230</v>
      </c>
      <c r="B120" s="21">
        <v>46141</v>
      </c>
      <c r="C120" s="21">
        <v>46142</v>
      </c>
      <c r="D120" s="22" t="s">
        <v>46</v>
      </c>
      <c r="E120" s="22" t="s">
        <v>47</v>
      </c>
      <c r="F120" s="22" t="s">
        <v>48</v>
      </c>
      <c r="G120" s="22" t="s">
        <v>16</v>
      </c>
      <c r="H120" s="22" t="s">
        <v>17</v>
      </c>
      <c r="I120" s="22">
        <v>5</v>
      </c>
      <c r="J120" s="29">
        <f t="shared" si="10"/>
        <v>30</v>
      </c>
      <c r="K120" s="29">
        <f t="shared" si="11"/>
        <v>150</v>
      </c>
      <c r="L120" s="22" t="s">
        <v>25</v>
      </c>
      <c r="M120" s="25">
        <f t="shared" si="12"/>
        <v>35</v>
      </c>
      <c r="N120" s="29">
        <f t="shared" si="13"/>
        <v>175</v>
      </c>
      <c r="O120" s="29">
        <f t="shared" si="14"/>
        <v>25</v>
      </c>
    </row>
    <row r="121" spans="1:15">
      <c r="A121" s="17" t="s">
        <v>231</v>
      </c>
      <c r="B121" s="18">
        <v>46142</v>
      </c>
      <c r="C121" s="18">
        <v>46142</v>
      </c>
      <c r="D121" s="19" t="s">
        <v>50</v>
      </c>
      <c r="E121" s="19" t="s">
        <v>51</v>
      </c>
      <c r="F121" s="19" t="s">
        <v>52</v>
      </c>
      <c r="G121" s="19" t="s">
        <v>23</v>
      </c>
      <c r="H121" s="19" t="s">
        <v>17</v>
      </c>
      <c r="I121" s="19">
        <v>7</v>
      </c>
      <c r="J121" s="28">
        <f t="shared" si="10"/>
        <v>30</v>
      </c>
      <c r="K121" s="28">
        <f t="shared" si="11"/>
        <v>210</v>
      </c>
      <c r="L121" s="19" t="s">
        <v>18</v>
      </c>
      <c r="M121" s="24">
        <f t="shared" si="12"/>
        <v>35</v>
      </c>
      <c r="N121" s="28">
        <f t="shared" si="13"/>
        <v>245</v>
      </c>
      <c r="O121" s="28">
        <f t="shared" si="14"/>
        <v>35</v>
      </c>
    </row>
    <row r="122" spans="1:15">
      <c r="A122" s="20" t="s">
        <v>232</v>
      </c>
      <c r="B122" s="21">
        <v>46142</v>
      </c>
      <c r="C122" s="21">
        <v>46143</v>
      </c>
      <c r="D122" s="22" t="s">
        <v>149</v>
      </c>
      <c r="E122" s="22" t="s">
        <v>14</v>
      </c>
      <c r="F122" s="22" t="s">
        <v>55</v>
      </c>
      <c r="G122" s="22" t="s">
        <v>56</v>
      </c>
      <c r="H122" s="22" t="s">
        <v>31</v>
      </c>
      <c r="I122" s="22">
        <v>30</v>
      </c>
      <c r="J122" s="29">
        <f t="shared" si="10"/>
        <v>110</v>
      </c>
      <c r="K122" s="29">
        <f t="shared" si="11"/>
        <v>3300</v>
      </c>
      <c r="L122" s="22" t="s">
        <v>32</v>
      </c>
      <c r="M122" s="25">
        <f t="shared" si="12"/>
        <v>120</v>
      </c>
      <c r="N122" s="29">
        <f t="shared" si="13"/>
        <v>3600</v>
      </c>
      <c r="O122" s="29">
        <f t="shared" si="14"/>
        <v>300</v>
      </c>
    </row>
    <row r="123" spans="1:15">
      <c r="A123" s="17" t="s">
        <v>233</v>
      </c>
      <c r="B123" s="18">
        <v>46143</v>
      </c>
      <c r="C123" s="18">
        <v>46143</v>
      </c>
      <c r="D123" s="19" t="s">
        <v>59</v>
      </c>
      <c r="E123" s="19" t="s">
        <v>21</v>
      </c>
      <c r="F123" s="19" t="s">
        <v>60</v>
      </c>
      <c r="G123" s="19" t="s">
        <v>61</v>
      </c>
      <c r="H123" s="19" t="s">
        <v>17</v>
      </c>
      <c r="I123" s="19">
        <v>18</v>
      </c>
      <c r="J123" s="28">
        <f t="shared" si="10"/>
        <v>30</v>
      </c>
      <c r="K123" s="28">
        <f t="shared" si="11"/>
        <v>540</v>
      </c>
      <c r="L123" s="19" t="s">
        <v>18</v>
      </c>
      <c r="M123" s="24">
        <f t="shared" si="12"/>
        <v>35</v>
      </c>
      <c r="N123" s="28">
        <f t="shared" si="13"/>
        <v>630</v>
      </c>
      <c r="O123" s="28">
        <f t="shared" si="14"/>
        <v>90</v>
      </c>
    </row>
    <row r="124" spans="1:15">
      <c r="A124" s="20" t="s">
        <v>234</v>
      </c>
      <c r="B124" s="21">
        <v>46143</v>
      </c>
      <c r="C124" s="21">
        <v>46144</v>
      </c>
      <c r="D124" s="22" t="s">
        <v>63</v>
      </c>
      <c r="E124" s="22" t="s">
        <v>40</v>
      </c>
      <c r="F124" s="22" t="s">
        <v>64</v>
      </c>
      <c r="G124" s="22" t="s">
        <v>65</v>
      </c>
      <c r="H124" s="22" t="s">
        <v>43</v>
      </c>
      <c r="I124" s="22">
        <v>6</v>
      </c>
      <c r="J124" s="29">
        <f t="shared" si="10"/>
        <v>950</v>
      </c>
      <c r="K124" s="29">
        <f t="shared" si="11"/>
        <v>5700</v>
      </c>
      <c r="L124" s="22" t="s">
        <v>25</v>
      </c>
      <c r="M124" s="25">
        <f t="shared" si="12"/>
        <v>1000</v>
      </c>
      <c r="N124" s="29">
        <f t="shared" si="13"/>
        <v>6000</v>
      </c>
      <c r="O124" s="29">
        <f t="shared" si="14"/>
        <v>300</v>
      </c>
    </row>
    <row r="125" spans="1:15">
      <c r="A125" s="17" t="s">
        <v>235</v>
      </c>
      <c r="B125" s="18">
        <v>46144</v>
      </c>
      <c r="C125" s="18">
        <v>46144</v>
      </c>
      <c r="D125" s="19" t="s">
        <v>80</v>
      </c>
      <c r="E125" s="19" t="s">
        <v>28</v>
      </c>
      <c r="F125" s="19" t="s">
        <v>81</v>
      </c>
      <c r="G125" s="19" t="s">
        <v>30</v>
      </c>
      <c r="H125" s="19" t="s">
        <v>43</v>
      </c>
      <c r="I125" s="19">
        <v>7</v>
      </c>
      <c r="J125" s="28">
        <f t="shared" si="10"/>
        <v>950</v>
      </c>
      <c r="K125" s="28">
        <f t="shared" si="11"/>
        <v>6650</v>
      </c>
      <c r="L125" s="19" t="s">
        <v>44</v>
      </c>
      <c r="M125" s="24">
        <f t="shared" si="12"/>
        <v>1000</v>
      </c>
      <c r="N125" s="28">
        <f t="shared" si="13"/>
        <v>7000</v>
      </c>
      <c r="O125" s="28">
        <f t="shared" si="14"/>
        <v>350</v>
      </c>
    </row>
    <row r="126" spans="1:15">
      <c r="A126" s="20" t="s">
        <v>236</v>
      </c>
      <c r="B126" s="21">
        <v>46144</v>
      </c>
      <c r="C126" s="21">
        <v>46145</v>
      </c>
      <c r="D126" s="22" t="s">
        <v>83</v>
      </c>
      <c r="E126" s="22" t="s">
        <v>21</v>
      </c>
      <c r="F126" s="22" t="s">
        <v>84</v>
      </c>
      <c r="G126" s="22" t="s">
        <v>16</v>
      </c>
      <c r="H126" s="22" t="s">
        <v>57</v>
      </c>
      <c r="I126" s="22">
        <v>5</v>
      </c>
      <c r="J126" s="29">
        <f t="shared" si="10"/>
        <v>120</v>
      </c>
      <c r="K126" s="29">
        <f t="shared" si="11"/>
        <v>600</v>
      </c>
      <c r="L126" s="22" t="s">
        <v>18</v>
      </c>
      <c r="M126" s="25">
        <f t="shared" si="12"/>
        <v>130</v>
      </c>
      <c r="N126" s="29">
        <f t="shared" si="13"/>
        <v>650</v>
      </c>
      <c r="O126" s="29">
        <f t="shared" si="14"/>
        <v>50</v>
      </c>
    </row>
    <row r="127" spans="1:15">
      <c r="A127" s="17" t="s">
        <v>237</v>
      </c>
      <c r="B127" s="18">
        <v>46145</v>
      </c>
      <c r="C127" s="18">
        <v>46145</v>
      </c>
      <c r="D127" s="19" t="s">
        <v>86</v>
      </c>
      <c r="E127" s="19" t="s">
        <v>14</v>
      </c>
      <c r="F127" s="19" t="s">
        <v>87</v>
      </c>
      <c r="G127" s="19" t="s">
        <v>42</v>
      </c>
      <c r="H127" s="19" t="s">
        <v>24</v>
      </c>
      <c r="I127" s="19">
        <v>9</v>
      </c>
      <c r="J127" s="28">
        <f t="shared" si="10"/>
        <v>20</v>
      </c>
      <c r="K127" s="28">
        <f t="shared" si="11"/>
        <v>180</v>
      </c>
      <c r="L127" s="19" t="s">
        <v>32</v>
      </c>
      <c r="M127" s="24">
        <f t="shared" si="12"/>
        <v>25</v>
      </c>
      <c r="N127" s="28">
        <f t="shared" si="13"/>
        <v>225</v>
      </c>
      <c r="O127" s="28">
        <f t="shared" si="14"/>
        <v>45</v>
      </c>
    </row>
    <row r="128" spans="1:15">
      <c r="A128" s="20" t="s">
        <v>238</v>
      </c>
      <c r="B128" s="21">
        <v>46145</v>
      </c>
      <c r="C128" s="21">
        <v>46146</v>
      </c>
      <c r="D128" s="22" t="s">
        <v>89</v>
      </c>
      <c r="E128" s="22" t="s">
        <v>40</v>
      </c>
      <c r="F128" s="22" t="s">
        <v>90</v>
      </c>
      <c r="G128" s="22" t="s">
        <v>23</v>
      </c>
      <c r="H128" s="22" t="s">
        <v>24</v>
      </c>
      <c r="I128" s="22">
        <v>30</v>
      </c>
      <c r="J128" s="29">
        <f t="shared" si="10"/>
        <v>20</v>
      </c>
      <c r="K128" s="29">
        <f t="shared" si="11"/>
        <v>600</v>
      </c>
      <c r="L128" s="22" t="s">
        <v>25</v>
      </c>
      <c r="M128" s="25">
        <f t="shared" si="12"/>
        <v>25</v>
      </c>
      <c r="N128" s="29">
        <f t="shared" si="13"/>
        <v>750</v>
      </c>
      <c r="O128" s="29">
        <f t="shared" si="14"/>
        <v>150</v>
      </c>
    </row>
    <row r="129" spans="1:15">
      <c r="A129" s="17" t="s">
        <v>239</v>
      </c>
      <c r="B129" s="18">
        <v>46146</v>
      </c>
      <c r="C129" s="18">
        <v>46146</v>
      </c>
      <c r="D129" s="19" t="s">
        <v>92</v>
      </c>
      <c r="E129" s="19" t="s">
        <v>51</v>
      </c>
      <c r="F129" s="19" t="s">
        <v>93</v>
      </c>
      <c r="G129" s="19" t="s">
        <v>36</v>
      </c>
      <c r="H129" s="19" t="s">
        <v>43</v>
      </c>
      <c r="I129" s="19">
        <v>7</v>
      </c>
      <c r="J129" s="28">
        <f t="shared" si="10"/>
        <v>950</v>
      </c>
      <c r="K129" s="28">
        <f t="shared" si="11"/>
        <v>6650</v>
      </c>
      <c r="L129" s="19" t="s">
        <v>18</v>
      </c>
      <c r="M129" s="24">
        <f t="shared" si="12"/>
        <v>1000</v>
      </c>
      <c r="N129" s="28">
        <f t="shared" si="13"/>
        <v>7000</v>
      </c>
      <c r="O129" s="28">
        <f t="shared" si="14"/>
        <v>350</v>
      </c>
    </row>
    <row r="130" spans="1:15">
      <c r="A130" s="20" t="s">
        <v>240</v>
      </c>
      <c r="B130" s="21">
        <v>46146</v>
      </c>
      <c r="C130" s="21">
        <v>46147</v>
      </c>
      <c r="D130" s="22" t="s">
        <v>95</v>
      </c>
      <c r="E130" s="22" t="s">
        <v>47</v>
      </c>
      <c r="F130" s="22" t="s">
        <v>96</v>
      </c>
      <c r="G130" s="22" t="s">
        <v>56</v>
      </c>
      <c r="H130" s="22" t="s">
        <v>57</v>
      </c>
      <c r="I130" s="22">
        <v>10</v>
      </c>
      <c r="J130" s="29">
        <f t="shared" si="10"/>
        <v>120</v>
      </c>
      <c r="K130" s="29">
        <f t="shared" si="11"/>
        <v>1200</v>
      </c>
      <c r="L130" s="22" t="s">
        <v>44</v>
      </c>
      <c r="M130" s="25">
        <f t="shared" si="12"/>
        <v>130</v>
      </c>
      <c r="N130" s="29">
        <f t="shared" si="13"/>
        <v>1300</v>
      </c>
      <c r="O130" s="29">
        <f t="shared" si="14"/>
        <v>100</v>
      </c>
    </row>
    <row r="131" spans="1:15">
      <c r="A131" s="17" t="s">
        <v>241</v>
      </c>
      <c r="B131" s="18">
        <v>46147</v>
      </c>
      <c r="C131" s="18">
        <v>46147</v>
      </c>
      <c r="D131" s="19" t="s">
        <v>98</v>
      </c>
      <c r="E131" s="19" t="s">
        <v>21</v>
      </c>
      <c r="F131" s="19" t="s">
        <v>99</v>
      </c>
      <c r="G131" s="19" t="s">
        <v>42</v>
      </c>
      <c r="H131" s="19" t="s">
        <v>43</v>
      </c>
      <c r="I131" s="19">
        <v>9</v>
      </c>
      <c r="J131" s="28">
        <f t="shared" si="10"/>
        <v>950</v>
      </c>
      <c r="K131" s="28">
        <f t="shared" si="11"/>
        <v>8550</v>
      </c>
      <c r="L131" s="19" t="s">
        <v>18</v>
      </c>
      <c r="M131" s="24">
        <f t="shared" si="12"/>
        <v>1000</v>
      </c>
      <c r="N131" s="28">
        <f t="shared" si="13"/>
        <v>9000</v>
      </c>
      <c r="O131" s="28">
        <f t="shared" si="14"/>
        <v>450</v>
      </c>
    </row>
    <row r="132" spans="1:15">
      <c r="A132" s="20" t="s">
        <v>242</v>
      </c>
      <c r="B132" s="21">
        <v>46147</v>
      </c>
      <c r="C132" s="21">
        <v>46148</v>
      </c>
      <c r="D132" s="22" t="s">
        <v>101</v>
      </c>
      <c r="E132" s="22" t="s">
        <v>14</v>
      </c>
      <c r="F132" s="22" t="s">
        <v>102</v>
      </c>
      <c r="G132" s="22" t="s">
        <v>30</v>
      </c>
      <c r="H132" s="22" t="s">
        <v>31</v>
      </c>
      <c r="I132" s="22">
        <v>9</v>
      </c>
      <c r="J132" s="29">
        <f t="shared" si="10"/>
        <v>110</v>
      </c>
      <c r="K132" s="29">
        <f t="shared" si="11"/>
        <v>990</v>
      </c>
      <c r="L132" s="22" t="s">
        <v>25</v>
      </c>
      <c r="M132" s="25">
        <f t="shared" si="12"/>
        <v>120</v>
      </c>
      <c r="N132" s="29">
        <f t="shared" si="13"/>
        <v>1080</v>
      </c>
      <c r="O132" s="29">
        <f t="shared" si="14"/>
        <v>90</v>
      </c>
    </row>
    <row r="133" spans="1:15">
      <c r="A133" s="17" t="s">
        <v>243</v>
      </c>
      <c r="B133" s="18">
        <v>46148</v>
      </c>
      <c r="C133" s="18">
        <v>46148</v>
      </c>
      <c r="D133" s="19" t="s">
        <v>104</v>
      </c>
      <c r="E133" s="19" t="s">
        <v>40</v>
      </c>
      <c r="F133" s="19" t="s">
        <v>105</v>
      </c>
      <c r="G133" s="19" t="s">
        <v>16</v>
      </c>
      <c r="H133" s="19" t="s">
        <v>24</v>
      </c>
      <c r="I133" s="19">
        <v>12</v>
      </c>
      <c r="J133" s="28">
        <f t="shared" si="10"/>
        <v>20</v>
      </c>
      <c r="K133" s="28">
        <f t="shared" si="11"/>
        <v>240</v>
      </c>
      <c r="L133" s="19" t="s">
        <v>32</v>
      </c>
      <c r="M133" s="24">
        <f t="shared" si="12"/>
        <v>25</v>
      </c>
      <c r="N133" s="28">
        <f t="shared" si="13"/>
        <v>300</v>
      </c>
      <c r="O133" s="28">
        <f t="shared" si="14"/>
        <v>60</v>
      </c>
    </row>
    <row r="134" spans="1:15">
      <c r="A134" s="20" t="s">
        <v>244</v>
      </c>
      <c r="B134" s="21">
        <v>46148</v>
      </c>
      <c r="C134" s="21">
        <v>46149</v>
      </c>
      <c r="D134" s="22" t="s">
        <v>107</v>
      </c>
      <c r="E134" s="22" t="s">
        <v>28</v>
      </c>
      <c r="F134" s="22" t="s">
        <v>108</v>
      </c>
      <c r="G134" s="22" t="s">
        <v>65</v>
      </c>
      <c r="H134" s="22" t="s">
        <v>66</v>
      </c>
      <c r="I134" s="22">
        <v>7</v>
      </c>
      <c r="J134" s="29">
        <f t="shared" si="10"/>
        <v>220</v>
      </c>
      <c r="K134" s="29">
        <f t="shared" si="11"/>
        <v>1540</v>
      </c>
      <c r="L134" s="22" t="s">
        <v>18</v>
      </c>
      <c r="M134" s="25">
        <f t="shared" si="12"/>
        <v>230</v>
      </c>
      <c r="N134" s="29">
        <f t="shared" si="13"/>
        <v>1610</v>
      </c>
      <c r="O134" s="29">
        <f t="shared" si="14"/>
        <v>70</v>
      </c>
    </row>
    <row r="135" spans="1:15">
      <c r="A135" s="17" t="s">
        <v>245</v>
      </c>
      <c r="B135" s="18">
        <v>46149</v>
      </c>
      <c r="C135" s="18">
        <v>46149</v>
      </c>
      <c r="D135" s="19" t="s">
        <v>110</v>
      </c>
      <c r="E135" s="19" t="s">
        <v>21</v>
      </c>
      <c r="F135" s="19" t="s">
        <v>111</v>
      </c>
      <c r="G135" s="19" t="s">
        <v>61</v>
      </c>
      <c r="H135" s="19" t="s">
        <v>17</v>
      </c>
      <c r="I135" s="19">
        <v>10</v>
      </c>
      <c r="J135" s="28">
        <f t="shared" si="10"/>
        <v>30</v>
      </c>
      <c r="K135" s="28">
        <f t="shared" si="11"/>
        <v>300</v>
      </c>
      <c r="L135" s="19" t="s">
        <v>44</v>
      </c>
      <c r="M135" s="24">
        <f t="shared" si="12"/>
        <v>35</v>
      </c>
      <c r="N135" s="28">
        <f t="shared" si="13"/>
        <v>350</v>
      </c>
      <c r="O135" s="28">
        <f t="shared" si="14"/>
        <v>50</v>
      </c>
    </row>
    <row r="136" spans="1:15">
      <c r="A136" s="20" t="s">
        <v>246</v>
      </c>
      <c r="B136" s="21">
        <v>46149</v>
      </c>
      <c r="C136" s="21">
        <v>46150</v>
      </c>
      <c r="D136" s="22" t="s">
        <v>113</v>
      </c>
      <c r="E136" s="22" t="s">
        <v>14</v>
      </c>
      <c r="F136" s="22" t="s">
        <v>114</v>
      </c>
      <c r="G136" s="22" t="s">
        <v>23</v>
      </c>
      <c r="H136" s="22" t="s">
        <v>24</v>
      </c>
      <c r="I136" s="22">
        <v>35</v>
      </c>
      <c r="J136" s="29">
        <f t="shared" si="10"/>
        <v>20</v>
      </c>
      <c r="K136" s="29">
        <f t="shared" si="11"/>
        <v>700</v>
      </c>
      <c r="L136" s="22" t="s">
        <v>18</v>
      </c>
      <c r="M136" s="25">
        <f t="shared" si="12"/>
        <v>25</v>
      </c>
      <c r="N136" s="29">
        <f t="shared" si="13"/>
        <v>875</v>
      </c>
      <c r="O136" s="29">
        <f t="shared" si="14"/>
        <v>175</v>
      </c>
    </row>
    <row r="137" spans="1:15">
      <c r="A137" s="17" t="s">
        <v>247</v>
      </c>
      <c r="B137" s="18">
        <v>46150</v>
      </c>
      <c r="C137" s="18">
        <v>46150</v>
      </c>
      <c r="D137" s="19" t="s">
        <v>116</v>
      </c>
      <c r="E137" s="19" t="s">
        <v>40</v>
      </c>
      <c r="F137" s="19" t="s">
        <v>117</v>
      </c>
      <c r="G137" s="19" t="s">
        <v>36</v>
      </c>
      <c r="H137" s="19" t="s">
        <v>37</v>
      </c>
      <c r="I137" s="19">
        <v>6</v>
      </c>
      <c r="J137" s="28">
        <f t="shared" si="10"/>
        <v>180</v>
      </c>
      <c r="K137" s="28">
        <f t="shared" si="11"/>
        <v>1080</v>
      </c>
      <c r="L137" s="19" t="s">
        <v>25</v>
      </c>
      <c r="M137" s="24">
        <f t="shared" si="12"/>
        <v>200</v>
      </c>
      <c r="N137" s="28">
        <f t="shared" si="13"/>
        <v>1200</v>
      </c>
      <c r="O137" s="28">
        <f t="shared" si="14"/>
        <v>120</v>
      </c>
    </row>
    <row r="138" spans="1:15">
      <c r="A138" s="20" t="s">
        <v>248</v>
      </c>
      <c r="B138" s="21">
        <v>46150</v>
      </c>
      <c r="C138" s="21">
        <v>46151</v>
      </c>
      <c r="D138" s="22" t="s">
        <v>119</v>
      </c>
      <c r="E138" s="22" t="s">
        <v>51</v>
      </c>
      <c r="F138" s="22" t="s">
        <v>120</v>
      </c>
      <c r="G138" s="22" t="s">
        <v>16</v>
      </c>
      <c r="H138" s="22" t="s">
        <v>17</v>
      </c>
      <c r="I138" s="22">
        <v>8</v>
      </c>
      <c r="J138" s="29">
        <f t="shared" si="10"/>
        <v>30</v>
      </c>
      <c r="K138" s="29">
        <f t="shared" si="11"/>
        <v>240</v>
      </c>
      <c r="L138" s="22" t="s">
        <v>32</v>
      </c>
      <c r="M138" s="25">
        <f t="shared" si="12"/>
        <v>35</v>
      </c>
      <c r="N138" s="29">
        <f t="shared" si="13"/>
        <v>280</v>
      </c>
      <c r="O138" s="29">
        <f t="shared" si="14"/>
        <v>40</v>
      </c>
    </row>
    <row r="139" spans="1:15">
      <c r="A139" s="17" t="s">
        <v>249</v>
      </c>
      <c r="B139" s="18">
        <v>46151</v>
      </c>
      <c r="C139" s="18">
        <v>46151</v>
      </c>
      <c r="D139" s="19" t="s">
        <v>122</v>
      </c>
      <c r="E139" s="19" t="s">
        <v>47</v>
      </c>
      <c r="F139" s="19" t="s">
        <v>123</v>
      </c>
      <c r="G139" s="19" t="s">
        <v>42</v>
      </c>
      <c r="H139" s="19" t="s">
        <v>24</v>
      </c>
      <c r="I139" s="19">
        <v>6</v>
      </c>
      <c r="J139" s="28">
        <f t="shared" si="10"/>
        <v>20</v>
      </c>
      <c r="K139" s="28">
        <f t="shared" si="11"/>
        <v>120</v>
      </c>
      <c r="L139" s="19" t="s">
        <v>18</v>
      </c>
      <c r="M139" s="24">
        <f t="shared" si="12"/>
        <v>25</v>
      </c>
      <c r="N139" s="28">
        <f t="shared" si="13"/>
        <v>150</v>
      </c>
      <c r="O139" s="28">
        <f t="shared" si="14"/>
        <v>30</v>
      </c>
    </row>
    <row r="140" spans="1:15">
      <c r="A140" s="20" t="s">
        <v>250</v>
      </c>
      <c r="B140" s="21">
        <v>46151</v>
      </c>
      <c r="C140" s="21">
        <v>46152</v>
      </c>
      <c r="D140" s="22" t="s">
        <v>163</v>
      </c>
      <c r="E140" s="22" t="s">
        <v>14</v>
      </c>
      <c r="F140" s="22" t="s">
        <v>15</v>
      </c>
      <c r="G140" s="22" t="s">
        <v>16</v>
      </c>
      <c r="H140" s="22" t="s">
        <v>57</v>
      </c>
      <c r="I140" s="22">
        <v>7</v>
      </c>
      <c r="J140" s="29">
        <f t="shared" si="10"/>
        <v>120</v>
      </c>
      <c r="K140" s="29">
        <f t="shared" si="11"/>
        <v>840</v>
      </c>
      <c r="L140" s="22" t="s">
        <v>18</v>
      </c>
      <c r="M140" s="25">
        <f t="shared" si="12"/>
        <v>130</v>
      </c>
      <c r="N140" s="29">
        <f t="shared" si="13"/>
        <v>910</v>
      </c>
      <c r="O140" s="29">
        <f t="shared" si="14"/>
        <v>70</v>
      </c>
    </row>
    <row r="141" spans="1:15">
      <c r="A141" s="17" t="s">
        <v>251</v>
      </c>
      <c r="B141" s="18">
        <v>46152</v>
      </c>
      <c r="C141" s="18">
        <v>46152</v>
      </c>
      <c r="D141" s="19" t="s">
        <v>20</v>
      </c>
      <c r="E141" s="19" t="s">
        <v>21</v>
      </c>
      <c r="F141" s="19" t="s">
        <v>22</v>
      </c>
      <c r="G141" s="19" t="s">
        <v>23</v>
      </c>
      <c r="H141" s="19" t="s">
        <v>53</v>
      </c>
      <c r="I141" s="19">
        <v>8</v>
      </c>
      <c r="J141" s="28">
        <f t="shared" si="10"/>
        <v>30</v>
      </c>
      <c r="K141" s="28">
        <f t="shared" si="11"/>
        <v>240</v>
      </c>
      <c r="L141" s="19" t="s">
        <v>25</v>
      </c>
      <c r="M141" s="24">
        <f t="shared" si="12"/>
        <v>40</v>
      </c>
      <c r="N141" s="28">
        <f t="shared" si="13"/>
        <v>320</v>
      </c>
      <c r="O141" s="28">
        <f t="shared" si="14"/>
        <v>80</v>
      </c>
    </row>
    <row r="142" spans="1:15">
      <c r="A142" s="20" t="s">
        <v>252</v>
      </c>
      <c r="B142" s="21">
        <v>46152</v>
      </c>
      <c r="C142" s="21">
        <v>46153</v>
      </c>
      <c r="D142" s="22" t="s">
        <v>27</v>
      </c>
      <c r="E142" s="22" t="s">
        <v>28</v>
      </c>
      <c r="F142" s="22" t="s">
        <v>29</v>
      </c>
      <c r="G142" s="22" t="s">
        <v>30</v>
      </c>
      <c r="H142" s="22" t="s">
        <v>57</v>
      </c>
      <c r="I142" s="22">
        <v>5</v>
      </c>
      <c r="J142" s="29">
        <f t="shared" si="10"/>
        <v>120</v>
      </c>
      <c r="K142" s="29">
        <f t="shared" si="11"/>
        <v>600</v>
      </c>
      <c r="L142" s="22" t="s">
        <v>32</v>
      </c>
      <c r="M142" s="25">
        <f t="shared" si="12"/>
        <v>130</v>
      </c>
      <c r="N142" s="29">
        <f t="shared" si="13"/>
        <v>650</v>
      </c>
      <c r="O142" s="29">
        <f t="shared" si="14"/>
        <v>50</v>
      </c>
    </row>
    <row r="143" spans="1:15">
      <c r="A143" s="17" t="s">
        <v>253</v>
      </c>
      <c r="B143" s="18">
        <v>46153</v>
      </c>
      <c r="C143" s="18">
        <v>46153</v>
      </c>
      <c r="D143" s="19" t="s">
        <v>34</v>
      </c>
      <c r="E143" s="19" t="s">
        <v>14</v>
      </c>
      <c r="F143" s="19" t="s">
        <v>35</v>
      </c>
      <c r="G143" s="19" t="s">
        <v>36</v>
      </c>
      <c r="H143" s="19" t="s">
        <v>17</v>
      </c>
      <c r="I143" s="19">
        <v>18</v>
      </c>
      <c r="J143" s="28">
        <f t="shared" si="10"/>
        <v>30</v>
      </c>
      <c r="K143" s="28">
        <f t="shared" si="11"/>
        <v>540</v>
      </c>
      <c r="L143" s="19" t="s">
        <v>18</v>
      </c>
      <c r="M143" s="24">
        <f t="shared" si="12"/>
        <v>35</v>
      </c>
      <c r="N143" s="28">
        <f t="shared" si="13"/>
        <v>630</v>
      </c>
      <c r="O143" s="28">
        <f t="shared" si="14"/>
        <v>90</v>
      </c>
    </row>
    <row r="144" spans="1:15">
      <c r="A144" s="20" t="s">
        <v>254</v>
      </c>
      <c r="B144" s="21">
        <v>46153</v>
      </c>
      <c r="C144" s="21">
        <v>46154</v>
      </c>
      <c r="D144" s="22" t="s">
        <v>39</v>
      </c>
      <c r="E144" s="22" t="s">
        <v>40</v>
      </c>
      <c r="F144" s="22" t="s">
        <v>41</v>
      </c>
      <c r="G144" s="22" t="s">
        <v>42</v>
      </c>
      <c r="H144" s="22" t="s">
        <v>43</v>
      </c>
      <c r="I144" s="22">
        <v>4</v>
      </c>
      <c r="J144" s="29">
        <f t="shared" si="10"/>
        <v>950</v>
      </c>
      <c r="K144" s="29">
        <f t="shared" si="11"/>
        <v>3800</v>
      </c>
      <c r="L144" s="22" t="s">
        <v>44</v>
      </c>
      <c r="M144" s="25">
        <f t="shared" si="12"/>
        <v>1000</v>
      </c>
      <c r="N144" s="29">
        <f t="shared" si="13"/>
        <v>4000</v>
      </c>
      <c r="O144" s="29">
        <f t="shared" si="14"/>
        <v>200</v>
      </c>
    </row>
    <row r="145" spans="1:15">
      <c r="A145" s="17" t="s">
        <v>255</v>
      </c>
      <c r="B145" s="18">
        <v>46154</v>
      </c>
      <c r="C145" s="18">
        <v>46154</v>
      </c>
      <c r="D145" s="19" t="s">
        <v>46</v>
      </c>
      <c r="E145" s="19" t="s">
        <v>47</v>
      </c>
      <c r="F145" s="19" t="s">
        <v>48</v>
      </c>
      <c r="G145" s="19" t="s">
        <v>16</v>
      </c>
      <c r="H145" s="19" t="s">
        <v>17</v>
      </c>
      <c r="I145" s="19">
        <v>6</v>
      </c>
      <c r="J145" s="28">
        <f t="shared" si="10"/>
        <v>30</v>
      </c>
      <c r="K145" s="28">
        <f t="shared" si="11"/>
        <v>180</v>
      </c>
      <c r="L145" s="19" t="s">
        <v>25</v>
      </c>
      <c r="M145" s="24">
        <f t="shared" si="12"/>
        <v>35</v>
      </c>
      <c r="N145" s="28">
        <f t="shared" si="13"/>
        <v>210</v>
      </c>
      <c r="O145" s="28">
        <f t="shared" si="14"/>
        <v>30</v>
      </c>
    </row>
    <row r="146" spans="1:15">
      <c r="A146" s="20" t="s">
        <v>256</v>
      </c>
      <c r="B146" s="21">
        <v>46154</v>
      </c>
      <c r="C146" s="21">
        <v>46155</v>
      </c>
      <c r="D146" s="22" t="s">
        <v>50</v>
      </c>
      <c r="E146" s="22" t="s">
        <v>51</v>
      </c>
      <c r="F146" s="22" t="s">
        <v>52</v>
      </c>
      <c r="G146" s="22" t="s">
        <v>23</v>
      </c>
      <c r="H146" s="22" t="s">
        <v>17</v>
      </c>
      <c r="I146" s="22">
        <v>8</v>
      </c>
      <c r="J146" s="29">
        <f t="shared" si="10"/>
        <v>30</v>
      </c>
      <c r="K146" s="29">
        <f t="shared" si="11"/>
        <v>240</v>
      </c>
      <c r="L146" s="22" t="s">
        <v>18</v>
      </c>
      <c r="M146" s="25">
        <f t="shared" si="12"/>
        <v>35</v>
      </c>
      <c r="N146" s="29">
        <f t="shared" si="13"/>
        <v>280</v>
      </c>
      <c r="O146" s="29">
        <f t="shared" si="14"/>
        <v>40</v>
      </c>
    </row>
    <row r="147" spans="1:15">
      <c r="A147" s="17" t="s">
        <v>257</v>
      </c>
      <c r="B147" s="18">
        <v>46155</v>
      </c>
      <c r="C147" s="18">
        <v>46155</v>
      </c>
      <c r="D147" s="19" t="s">
        <v>76</v>
      </c>
      <c r="E147" s="19" t="s">
        <v>14</v>
      </c>
      <c r="F147" s="19" t="s">
        <v>55</v>
      </c>
      <c r="G147" s="19" t="s">
        <v>56</v>
      </c>
      <c r="H147" s="19" t="s">
        <v>31</v>
      </c>
      <c r="I147" s="19">
        <v>35</v>
      </c>
      <c r="J147" s="28">
        <f t="shared" si="10"/>
        <v>110</v>
      </c>
      <c r="K147" s="28">
        <f t="shared" si="11"/>
        <v>3850</v>
      </c>
      <c r="L147" s="19" t="s">
        <v>32</v>
      </c>
      <c r="M147" s="24">
        <f t="shared" si="12"/>
        <v>120</v>
      </c>
      <c r="N147" s="28">
        <f t="shared" si="13"/>
        <v>4200</v>
      </c>
      <c r="O147" s="28">
        <f t="shared" si="14"/>
        <v>350</v>
      </c>
    </row>
    <row r="148" spans="1:15">
      <c r="A148" s="20" t="s">
        <v>258</v>
      </c>
      <c r="B148" s="21">
        <v>46155</v>
      </c>
      <c r="C148" s="21">
        <v>46156</v>
      </c>
      <c r="D148" s="22" t="s">
        <v>59</v>
      </c>
      <c r="E148" s="22" t="s">
        <v>21</v>
      </c>
      <c r="F148" s="22" t="s">
        <v>60</v>
      </c>
      <c r="G148" s="22" t="s">
        <v>61</v>
      </c>
      <c r="H148" s="22" t="s">
        <v>17</v>
      </c>
      <c r="I148" s="22">
        <v>20</v>
      </c>
      <c r="J148" s="29">
        <f t="shared" si="10"/>
        <v>30</v>
      </c>
      <c r="K148" s="29">
        <f t="shared" si="11"/>
        <v>600</v>
      </c>
      <c r="L148" s="22" t="s">
        <v>18</v>
      </c>
      <c r="M148" s="25">
        <f t="shared" si="12"/>
        <v>35</v>
      </c>
      <c r="N148" s="29">
        <f t="shared" si="13"/>
        <v>700</v>
      </c>
      <c r="O148" s="29">
        <f t="shared" si="14"/>
        <v>100</v>
      </c>
    </row>
    <row r="149" spans="1:15">
      <c r="A149" s="17" t="s">
        <v>259</v>
      </c>
      <c r="B149" s="18">
        <v>46156</v>
      </c>
      <c r="C149" s="18">
        <v>46156</v>
      </c>
      <c r="D149" s="19" t="s">
        <v>63</v>
      </c>
      <c r="E149" s="19" t="s">
        <v>40</v>
      </c>
      <c r="F149" s="19" t="s">
        <v>64</v>
      </c>
      <c r="G149" s="19" t="s">
        <v>65</v>
      </c>
      <c r="H149" s="19" t="s">
        <v>43</v>
      </c>
      <c r="I149" s="19">
        <v>7</v>
      </c>
      <c r="J149" s="28">
        <f t="shared" si="10"/>
        <v>950</v>
      </c>
      <c r="K149" s="28">
        <f t="shared" si="11"/>
        <v>6650</v>
      </c>
      <c r="L149" s="19" t="s">
        <v>25</v>
      </c>
      <c r="M149" s="24">
        <f t="shared" si="12"/>
        <v>1000</v>
      </c>
      <c r="N149" s="28">
        <f t="shared" si="13"/>
        <v>7000</v>
      </c>
      <c r="O149" s="28">
        <f t="shared" si="14"/>
        <v>350</v>
      </c>
    </row>
    <row r="150" spans="1:15">
      <c r="A150" s="20" t="s">
        <v>260</v>
      </c>
      <c r="B150" s="21">
        <v>46156</v>
      </c>
      <c r="C150" s="21">
        <v>46157</v>
      </c>
      <c r="D150" s="22" t="s">
        <v>80</v>
      </c>
      <c r="E150" s="22" t="s">
        <v>28</v>
      </c>
      <c r="F150" s="22" t="s">
        <v>81</v>
      </c>
      <c r="G150" s="22" t="s">
        <v>30</v>
      </c>
      <c r="H150" s="22" t="s">
        <v>43</v>
      </c>
      <c r="I150" s="22">
        <v>8</v>
      </c>
      <c r="J150" s="29">
        <f t="shared" si="10"/>
        <v>950</v>
      </c>
      <c r="K150" s="29">
        <f t="shared" si="11"/>
        <v>7600</v>
      </c>
      <c r="L150" s="22" t="s">
        <v>44</v>
      </c>
      <c r="M150" s="25">
        <f t="shared" si="12"/>
        <v>1000</v>
      </c>
      <c r="N150" s="29">
        <f t="shared" si="13"/>
        <v>8000</v>
      </c>
      <c r="O150" s="29">
        <f t="shared" si="14"/>
        <v>400</v>
      </c>
    </row>
    <row r="151" spans="1:15">
      <c r="A151" s="17" t="s">
        <v>261</v>
      </c>
      <c r="B151" s="18">
        <v>46157</v>
      </c>
      <c r="C151" s="18">
        <v>46157</v>
      </c>
      <c r="D151" s="19" t="s">
        <v>83</v>
      </c>
      <c r="E151" s="19" t="s">
        <v>21</v>
      </c>
      <c r="F151" s="19" t="s">
        <v>84</v>
      </c>
      <c r="G151" s="19" t="s">
        <v>16</v>
      </c>
      <c r="H151" s="19" t="s">
        <v>57</v>
      </c>
      <c r="I151" s="19">
        <v>6</v>
      </c>
      <c r="J151" s="28">
        <f t="shared" si="10"/>
        <v>120</v>
      </c>
      <c r="K151" s="28">
        <f t="shared" si="11"/>
        <v>720</v>
      </c>
      <c r="L151" s="19" t="s">
        <v>18</v>
      </c>
      <c r="M151" s="24">
        <f t="shared" si="12"/>
        <v>130</v>
      </c>
      <c r="N151" s="28">
        <f t="shared" si="13"/>
        <v>780</v>
      </c>
      <c r="O151" s="28">
        <f t="shared" si="14"/>
        <v>60</v>
      </c>
    </row>
    <row r="152" spans="1:15">
      <c r="A152" s="20" t="s">
        <v>262</v>
      </c>
      <c r="B152" s="21">
        <v>46157</v>
      </c>
      <c r="C152" s="21">
        <v>46158</v>
      </c>
      <c r="D152" s="22" t="s">
        <v>86</v>
      </c>
      <c r="E152" s="22" t="s">
        <v>14</v>
      </c>
      <c r="F152" s="22" t="s">
        <v>87</v>
      </c>
      <c r="G152" s="22" t="s">
        <v>42</v>
      </c>
      <c r="H152" s="22" t="s">
        <v>24</v>
      </c>
      <c r="I152" s="22">
        <v>10</v>
      </c>
      <c r="J152" s="29">
        <f t="shared" si="10"/>
        <v>20</v>
      </c>
      <c r="K152" s="29">
        <f t="shared" si="11"/>
        <v>200</v>
      </c>
      <c r="L152" s="22" t="s">
        <v>32</v>
      </c>
      <c r="M152" s="25">
        <f t="shared" si="12"/>
        <v>25</v>
      </c>
      <c r="N152" s="29">
        <f t="shared" si="13"/>
        <v>250</v>
      </c>
      <c r="O152" s="29">
        <f t="shared" si="14"/>
        <v>50</v>
      </c>
    </row>
    <row r="153" spans="1:15">
      <c r="A153" s="17" t="s">
        <v>263</v>
      </c>
      <c r="B153" s="18">
        <v>46158</v>
      </c>
      <c r="C153" s="18">
        <v>46158</v>
      </c>
      <c r="D153" s="19" t="s">
        <v>89</v>
      </c>
      <c r="E153" s="19" t="s">
        <v>40</v>
      </c>
      <c r="F153" s="19" t="s">
        <v>90</v>
      </c>
      <c r="G153" s="19" t="s">
        <v>23</v>
      </c>
      <c r="H153" s="19" t="s">
        <v>24</v>
      </c>
      <c r="I153" s="19">
        <v>40</v>
      </c>
      <c r="J153" s="28">
        <f t="shared" si="10"/>
        <v>20</v>
      </c>
      <c r="K153" s="28">
        <f t="shared" si="11"/>
        <v>800</v>
      </c>
      <c r="L153" s="19" t="s">
        <v>25</v>
      </c>
      <c r="M153" s="24">
        <f t="shared" si="12"/>
        <v>25</v>
      </c>
      <c r="N153" s="28">
        <f t="shared" si="13"/>
        <v>1000</v>
      </c>
      <c r="O153" s="28">
        <f t="shared" si="14"/>
        <v>200</v>
      </c>
    </row>
    <row r="154" spans="1:15">
      <c r="A154" s="20" t="s">
        <v>264</v>
      </c>
      <c r="B154" s="21">
        <v>46158</v>
      </c>
      <c r="C154" s="21">
        <v>46159</v>
      </c>
      <c r="D154" s="22" t="s">
        <v>92</v>
      </c>
      <c r="E154" s="22" t="s">
        <v>51</v>
      </c>
      <c r="F154" s="22" t="s">
        <v>93</v>
      </c>
      <c r="G154" s="22" t="s">
        <v>36</v>
      </c>
      <c r="H154" s="22" t="s">
        <v>43</v>
      </c>
      <c r="I154" s="22">
        <v>8</v>
      </c>
      <c r="J154" s="29">
        <f t="shared" si="10"/>
        <v>950</v>
      </c>
      <c r="K154" s="29">
        <f t="shared" si="11"/>
        <v>7600</v>
      </c>
      <c r="L154" s="22" t="s">
        <v>18</v>
      </c>
      <c r="M154" s="25">
        <f t="shared" si="12"/>
        <v>1000</v>
      </c>
      <c r="N154" s="29">
        <f t="shared" si="13"/>
        <v>8000</v>
      </c>
      <c r="O154" s="29">
        <f t="shared" si="14"/>
        <v>400</v>
      </c>
    </row>
    <row r="155" spans="1:15">
      <c r="A155" s="17" t="s">
        <v>265</v>
      </c>
      <c r="B155" s="18">
        <v>46159</v>
      </c>
      <c r="C155" s="18">
        <v>46159</v>
      </c>
      <c r="D155" s="19" t="s">
        <v>95</v>
      </c>
      <c r="E155" s="19" t="s">
        <v>47</v>
      </c>
      <c r="F155" s="19" t="s">
        <v>96</v>
      </c>
      <c r="G155" s="19" t="s">
        <v>56</v>
      </c>
      <c r="H155" s="19" t="s">
        <v>57</v>
      </c>
      <c r="I155" s="19">
        <v>11</v>
      </c>
      <c r="J155" s="28">
        <f t="shared" si="10"/>
        <v>120</v>
      </c>
      <c r="K155" s="28">
        <f t="shared" si="11"/>
        <v>1320</v>
      </c>
      <c r="L155" s="19" t="s">
        <v>44</v>
      </c>
      <c r="M155" s="24">
        <f t="shared" si="12"/>
        <v>130</v>
      </c>
      <c r="N155" s="28">
        <f t="shared" si="13"/>
        <v>1430</v>
      </c>
      <c r="O155" s="28">
        <f t="shared" si="14"/>
        <v>110</v>
      </c>
    </row>
    <row r="156" spans="1:15">
      <c r="A156" s="20" t="s">
        <v>266</v>
      </c>
      <c r="B156" s="21">
        <v>46159</v>
      </c>
      <c r="C156" s="21">
        <v>46160</v>
      </c>
      <c r="D156" s="22" t="s">
        <v>98</v>
      </c>
      <c r="E156" s="22" t="s">
        <v>21</v>
      </c>
      <c r="F156" s="22" t="s">
        <v>99</v>
      </c>
      <c r="G156" s="22" t="s">
        <v>42</v>
      </c>
      <c r="H156" s="22" t="s">
        <v>43</v>
      </c>
      <c r="I156" s="22">
        <v>10</v>
      </c>
      <c r="J156" s="29">
        <f t="shared" si="10"/>
        <v>950</v>
      </c>
      <c r="K156" s="29">
        <f t="shared" si="11"/>
        <v>9500</v>
      </c>
      <c r="L156" s="22" t="s">
        <v>18</v>
      </c>
      <c r="M156" s="25">
        <f t="shared" si="12"/>
        <v>1000</v>
      </c>
      <c r="N156" s="29">
        <f t="shared" si="13"/>
        <v>10000</v>
      </c>
      <c r="O156" s="29">
        <f t="shared" si="14"/>
        <v>500</v>
      </c>
    </row>
    <row r="157" spans="1:15">
      <c r="A157" s="17" t="s">
        <v>267</v>
      </c>
      <c r="B157" s="18">
        <v>46160</v>
      </c>
      <c r="C157" s="18">
        <v>46160</v>
      </c>
      <c r="D157" s="19" t="s">
        <v>101</v>
      </c>
      <c r="E157" s="19" t="s">
        <v>14</v>
      </c>
      <c r="F157" s="19" t="s">
        <v>102</v>
      </c>
      <c r="G157" s="19" t="s">
        <v>30</v>
      </c>
      <c r="H157" s="19" t="s">
        <v>31</v>
      </c>
      <c r="I157" s="19">
        <v>10</v>
      </c>
      <c r="J157" s="28">
        <f t="shared" si="10"/>
        <v>110</v>
      </c>
      <c r="K157" s="28">
        <f t="shared" si="11"/>
        <v>1100</v>
      </c>
      <c r="L157" s="19" t="s">
        <v>25</v>
      </c>
      <c r="M157" s="24">
        <f t="shared" si="12"/>
        <v>120</v>
      </c>
      <c r="N157" s="28">
        <f t="shared" si="13"/>
        <v>1200</v>
      </c>
      <c r="O157" s="28">
        <f t="shared" si="14"/>
        <v>100</v>
      </c>
    </row>
    <row r="158" spans="1:15">
      <c r="A158" s="20" t="s">
        <v>268</v>
      </c>
      <c r="B158" s="21">
        <v>46160</v>
      </c>
      <c r="C158" s="21">
        <v>46161</v>
      </c>
      <c r="D158" s="22" t="s">
        <v>104</v>
      </c>
      <c r="E158" s="22" t="s">
        <v>40</v>
      </c>
      <c r="F158" s="22" t="s">
        <v>105</v>
      </c>
      <c r="G158" s="22" t="s">
        <v>16</v>
      </c>
      <c r="H158" s="22" t="s">
        <v>24</v>
      </c>
      <c r="I158" s="22">
        <v>13</v>
      </c>
      <c r="J158" s="29">
        <f t="shared" si="10"/>
        <v>20</v>
      </c>
      <c r="K158" s="29">
        <f t="shared" si="11"/>
        <v>260</v>
      </c>
      <c r="L158" s="22" t="s">
        <v>32</v>
      </c>
      <c r="M158" s="25">
        <f t="shared" si="12"/>
        <v>25</v>
      </c>
      <c r="N158" s="29">
        <f t="shared" si="13"/>
        <v>325</v>
      </c>
      <c r="O158" s="29">
        <f t="shared" si="14"/>
        <v>65</v>
      </c>
    </row>
    <row r="159" spans="1:15">
      <c r="A159" s="17" t="s">
        <v>269</v>
      </c>
      <c r="B159" s="18">
        <v>46161</v>
      </c>
      <c r="C159" s="18">
        <v>46161</v>
      </c>
      <c r="D159" s="19" t="s">
        <v>107</v>
      </c>
      <c r="E159" s="19" t="s">
        <v>28</v>
      </c>
      <c r="F159" s="19" t="s">
        <v>108</v>
      </c>
      <c r="G159" s="19" t="s">
        <v>65</v>
      </c>
      <c r="H159" s="19" t="s">
        <v>66</v>
      </c>
      <c r="I159" s="19">
        <v>8</v>
      </c>
      <c r="J159" s="28">
        <f t="shared" si="10"/>
        <v>220</v>
      </c>
      <c r="K159" s="28">
        <f t="shared" si="11"/>
        <v>1760</v>
      </c>
      <c r="L159" s="19" t="s">
        <v>18</v>
      </c>
      <c r="M159" s="24">
        <f t="shared" si="12"/>
        <v>230</v>
      </c>
      <c r="N159" s="28">
        <f t="shared" si="13"/>
        <v>1840</v>
      </c>
      <c r="O159" s="28">
        <f t="shared" si="14"/>
        <v>80</v>
      </c>
    </row>
    <row r="160" spans="1:15">
      <c r="A160" s="20" t="s">
        <v>270</v>
      </c>
      <c r="B160" s="21">
        <v>46161</v>
      </c>
      <c r="C160" s="21">
        <v>46162</v>
      </c>
      <c r="D160" s="22" t="s">
        <v>110</v>
      </c>
      <c r="E160" s="22" t="s">
        <v>21</v>
      </c>
      <c r="F160" s="22" t="s">
        <v>111</v>
      </c>
      <c r="G160" s="22" t="s">
        <v>61</v>
      </c>
      <c r="H160" s="22" t="s">
        <v>17</v>
      </c>
      <c r="I160" s="22">
        <v>11</v>
      </c>
      <c r="J160" s="29">
        <f t="shared" si="10"/>
        <v>30</v>
      </c>
      <c r="K160" s="29">
        <f t="shared" si="11"/>
        <v>330</v>
      </c>
      <c r="L160" s="22" t="s">
        <v>44</v>
      </c>
      <c r="M160" s="25">
        <f t="shared" si="12"/>
        <v>35</v>
      </c>
      <c r="N160" s="29">
        <f t="shared" si="13"/>
        <v>385</v>
      </c>
      <c r="O160" s="29">
        <f t="shared" si="14"/>
        <v>55</v>
      </c>
    </row>
    <row r="161" spans="1:15">
      <c r="A161" s="17" t="s">
        <v>271</v>
      </c>
      <c r="B161" s="18">
        <v>46162</v>
      </c>
      <c r="C161" s="18">
        <v>46162</v>
      </c>
      <c r="D161" s="19" t="s">
        <v>113</v>
      </c>
      <c r="E161" s="19" t="s">
        <v>14</v>
      </c>
      <c r="F161" s="19" t="s">
        <v>114</v>
      </c>
      <c r="G161" s="19" t="s">
        <v>23</v>
      </c>
      <c r="H161" s="19" t="s">
        <v>24</v>
      </c>
      <c r="I161" s="19">
        <v>45</v>
      </c>
      <c r="J161" s="28">
        <f t="shared" si="10"/>
        <v>20</v>
      </c>
      <c r="K161" s="28">
        <f t="shared" si="11"/>
        <v>900</v>
      </c>
      <c r="L161" s="19" t="s">
        <v>18</v>
      </c>
      <c r="M161" s="24">
        <f t="shared" si="12"/>
        <v>25</v>
      </c>
      <c r="N161" s="28">
        <f t="shared" si="13"/>
        <v>1125</v>
      </c>
      <c r="O161" s="28">
        <f t="shared" si="14"/>
        <v>225</v>
      </c>
    </row>
    <row r="162" spans="1:15">
      <c r="A162" s="20" t="s">
        <v>272</v>
      </c>
      <c r="B162" s="21">
        <v>46162</v>
      </c>
      <c r="C162" s="21">
        <v>46163</v>
      </c>
      <c r="D162" s="22" t="s">
        <v>116</v>
      </c>
      <c r="E162" s="22" t="s">
        <v>40</v>
      </c>
      <c r="F162" s="22" t="s">
        <v>117</v>
      </c>
      <c r="G162" s="22" t="s">
        <v>36</v>
      </c>
      <c r="H162" s="22" t="s">
        <v>37</v>
      </c>
      <c r="I162" s="22">
        <v>7</v>
      </c>
      <c r="J162" s="29">
        <f t="shared" si="10"/>
        <v>180</v>
      </c>
      <c r="K162" s="29">
        <f t="shared" si="11"/>
        <v>1260</v>
      </c>
      <c r="L162" s="22" t="s">
        <v>25</v>
      </c>
      <c r="M162" s="25">
        <f t="shared" si="12"/>
        <v>200</v>
      </c>
      <c r="N162" s="29">
        <f t="shared" si="13"/>
        <v>1400</v>
      </c>
      <c r="O162" s="29">
        <f t="shared" si="14"/>
        <v>140</v>
      </c>
    </row>
    <row r="163" spans="1:15">
      <c r="A163" s="17" t="s">
        <v>273</v>
      </c>
      <c r="B163" s="18">
        <v>46163</v>
      </c>
      <c r="C163" s="18">
        <v>46163</v>
      </c>
      <c r="D163" s="19" t="s">
        <v>119</v>
      </c>
      <c r="E163" s="19" t="s">
        <v>51</v>
      </c>
      <c r="F163" s="19" t="s">
        <v>120</v>
      </c>
      <c r="G163" s="19" t="s">
        <v>16</v>
      </c>
      <c r="H163" s="19" t="s">
        <v>17</v>
      </c>
      <c r="I163" s="19">
        <v>9</v>
      </c>
      <c r="J163" s="28">
        <f t="shared" si="10"/>
        <v>30</v>
      </c>
      <c r="K163" s="28">
        <f t="shared" si="11"/>
        <v>270</v>
      </c>
      <c r="L163" s="19" t="s">
        <v>32</v>
      </c>
      <c r="M163" s="24">
        <f t="shared" si="12"/>
        <v>35</v>
      </c>
      <c r="N163" s="28">
        <f t="shared" si="13"/>
        <v>315</v>
      </c>
      <c r="O163" s="28">
        <f t="shared" si="14"/>
        <v>45</v>
      </c>
    </row>
    <row r="164" spans="1:15">
      <c r="A164" s="20" t="s">
        <v>274</v>
      </c>
      <c r="B164" s="21">
        <v>46163</v>
      </c>
      <c r="C164" s="21">
        <v>46164</v>
      </c>
      <c r="D164" s="22" t="s">
        <v>122</v>
      </c>
      <c r="E164" s="22" t="s">
        <v>47</v>
      </c>
      <c r="F164" s="22" t="s">
        <v>123</v>
      </c>
      <c r="G164" s="22" t="s">
        <v>42</v>
      </c>
      <c r="H164" s="22" t="s">
        <v>24</v>
      </c>
      <c r="I164" s="22">
        <v>7</v>
      </c>
      <c r="J164" s="29">
        <f t="shared" si="10"/>
        <v>20</v>
      </c>
      <c r="K164" s="29">
        <f t="shared" si="11"/>
        <v>140</v>
      </c>
      <c r="L164" s="22" t="s">
        <v>18</v>
      </c>
      <c r="M164" s="25">
        <f t="shared" si="12"/>
        <v>25</v>
      </c>
      <c r="N164" s="29">
        <f t="shared" si="13"/>
        <v>175</v>
      </c>
      <c r="O164" s="29">
        <f t="shared" si="14"/>
        <v>35</v>
      </c>
    </row>
    <row r="165" spans="1:15">
      <c r="A165" s="17" t="s">
        <v>275</v>
      </c>
      <c r="B165" s="18">
        <v>46164</v>
      </c>
      <c r="C165" s="18">
        <v>46164</v>
      </c>
      <c r="D165" s="19" t="s">
        <v>164</v>
      </c>
      <c r="E165" s="19" t="s">
        <v>14</v>
      </c>
      <c r="F165" s="19" t="s">
        <v>15</v>
      </c>
      <c r="G165" s="19" t="s">
        <v>16</v>
      </c>
      <c r="H165" s="19" t="s">
        <v>57</v>
      </c>
      <c r="I165" s="19">
        <v>8</v>
      </c>
      <c r="J165" s="28">
        <f t="shared" ref="J165:J204" si="15">IF(H165="Milk",30,IF(H165="Chips",20,IF(H165="Juice",110,IF(H165="Shampoo",180,IF(H165="Rice",950,IF(H165="Cookies",30,IF(H165="Apple",120,IF(H165="Tomato",40,IF(H165="Nuggets",220,0)))))))))</f>
        <v>120</v>
      </c>
      <c r="K165" s="28">
        <f t="shared" ref="K165:K204" si="16">J165*I165</f>
        <v>960</v>
      </c>
      <c r="L165" s="19" t="s">
        <v>18</v>
      </c>
      <c r="M165" s="24">
        <f t="shared" ref="M165:M204" si="17">IF(H165="Milk",35,IF(H165="Chips",25,IF(H165="Juice",120,IF(H165="Shampoo",200,IF(H165="Rice",1000,IF(H165="Cookies",40,IF(H165="Apple",130,IF(H165="Tomato",50,IF(H165="Nuggets",230,0)))))))))</f>
        <v>130</v>
      </c>
      <c r="N165" s="28">
        <f t="shared" ref="N165:N204" si="18">M165*I165</f>
        <v>1040</v>
      </c>
      <c r="O165" s="28">
        <f t="shared" ref="O165:O204" si="19">N165-K165</f>
        <v>80</v>
      </c>
    </row>
    <row r="166" spans="1:15">
      <c r="A166" s="20" t="s">
        <v>276</v>
      </c>
      <c r="B166" s="21">
        <v>46164</v>
      </c>
      <c r="C166" s="21">
        <v>46165</v>
      </c>
      <c r="D166" s="22" t="s">
        <v>20</v>
      </c>
      <c r="E166" s="22" t="s">
        <v>21</v>
      </c>
      <c r="F166" s="22" t="s">
        <v>22</v>
      </c>
      <c r="G166" s="22" t="s">
        <v>23</v>
      </c>
      <c r="H166" s="22" t="s">
        <v>53</v>
      </c>
      <c r="I166" s="22">
        <v>9</v>
      </c>
      <c r="J166" s="29">
        <f t="shared" si="15"/>
        <v>30</v>
      </c>
      <c r="K166" s="29">
        <f t="shared" si="16"/>
        <v>270</v>
      </c>
      <c r="L166" s="22" t="s">
        <v>25</v>
      </c>
      <c r="M166" s="25">
        <f t="shared" si="17"/>
        <v>40</v>
      </c>
      <c r="N166" s="29">
        <f t="shared" si="18"/>
        <v>360</v>
      </c>
      <c r="O166" s="29">
        <f t="shared" si="19"/>
        <v>90</v>
      </c>
    </row>
    <row r="167" spans="1:15">
      <c r="A167" s="17" t="s">
        <v>277</v>
      </c>
      <c r="B167" s="18">
        <v>46165</v>
      </c>
      <c r="C167" s="18">
        <v>46165</v>
      </c>
      <c r="D167" s="19" t="s">
        <v>27</v>
      </c>
      <c r="E167" s="19" t="s">
        <v>28</v>
      </c>
      <c r="F167" s="19" t="s">
        <v>29</v>
      </c>
      <c r="G167" s="19" t="s">
        <v>30</v>
      </c>
      <c r="H167" s="19" t="s">
        <v>57</v>
      </c>
      <c r="I167" s="19">
        <v>6</v>
      </c>
      <c r="J167" s="28">
        <f t="shared" si="15"/>
        <v>120</v>
      </c>
      <c r="K167" s="28">
        <f t="shared" si="16"/>
        <v>720</v>
      </c>
      <c r="L167" s="19" t="s">
        <v>32</v>
      </c>
      <c r="M167" s="24">
        <f t="shared" si="17"/>
        <v>130</v>
      </c>
      <c r="N167" s="28">
        <f t="shared" si="18"/>
        <v>780</v>
      </c>
      <c r="O167" s="28">
        <f t="shared" si="19"/>
        <v>60</v>
      </c>
    </row>
    <row r="168" spans="1:15">
      <c r="A168" s="20" t="s">
        <v>278</v>
      </c>
      <c r="B168" s="21">
        <v>46165</v>
      </c>
      <c r="C168" s="21">
        <v>46166</v>
      </c>
      <c r="D168" s="22" t="s">
        <v>34</v>
      </c>
      <c r="E168" s="22" t="s">
        <v>14</v>
      </c>
      <c r="F168" s="22" t="s">
        <v>35</v>
      </c>
      <c r="G168" s="22" t="s">
        <v>36</v>
      </c>
      <c r="H168" s="22" t="s">
        <v>17</v>
      </c>
      <c r="I168" s="22">
        <v>20</v>
      </c>
      <c r="J168" s="29">
        <f t="shared" si="15"/>
        <v>30</v>
      </c>
      <c r="K168" s="29">
        <f t="shared" si="16"/>
        <v>600</v>
      </c>
      <c r="L168" s="22" t="s">
        <v>18</v>
      </c>
      <c r="M168" s="25">
        <f t="shared" si="17"/>
        <v>35</v>
      </c>
      <c r="N168" s="29">
        <f t="shared" si="18"/>
        <v>700</v>
      </c>
      <c r="O168" s="29">
        <f t="shared" si="19"/>
        <v>100</v>
      </c>
    </row>
    <row r="169" spans="1:15">
      <c r="A169" s="17" t="s">
        <v>279</v>
      </c>
      <c r="B169" s="18">
        <v>46166</v>
      </c>
      <c r="C169" s="18">
        <v>46166</v>
      </c>
      <c r="D169" s="19" t="s">
        <v>39</v>
      </c>
      <c r="E169" s="19" t="s">
        <v>40</v>
      </c>
      <c r="F169" s="19" t="s">
        <v>41</v>
      </c>
      <c r="G169" s="19" t="s">
        <v>42</v>
      </c>
      <c r="H169" s="19" t="s">
        <v>43</v>
      </c>
      <c r="I169" s="19">
        <v>5</v>
      </c>
      <c r="J169" s="28">
        <f t="shared" si="15"/>
        <v>950</v>
      </c>
      <c r="K169" s="28">
        <f t="shared" si="16"/>
        <v>4750</v>
      </c>
      <c r="L169" s="19" t="s">
        <v>44</v>
      </c>
      <c r="M169" s="24">
        <f t="shared" si="17"/>
        <v>1000</v>
      </c>
      <c r="N169" s="28">
        <f t="shared" si="18"/>
        <v>5000</v>
      </c>
      <c r="O169" s="28">
        <f t="shared" si="19"/>
        <v>250</v>
      </c>
    </row>
    <row r="170" spans="1:15">
      <c r="A170" s="20" t="s">
        <v>280</v>
      </c>
      <c r="B170" s="21">
        <v>46166</v>
      </c>
      <c r="C170" s="21">
        <v>46167</v>
      </c>
      <c r="D170" s="22" t="s">
        <v>46</v>
      </c>
      <c r="E170" s="22" t="s">
        <v>47</v>
      </c>
      <c r="F170" s="22" t="s">
        <v>48</v>
      </c>
      <c r="G170" s="22" t="s">
        <v>16</v>
      </c>
      <c r="H170" s="22" t="s">
        <v>17</v>
      </c>
      <c r="I170" s="22">
        <v>7</v>
      </c>
      <c r="J170" s="29">
        <f t="shared" si="15"/>
        <v>30</v>
      </c>
      <c r="K170" s="29">
        <f t="shared" si="16"/>
        <v>210</v>
      </c>
      <c r="L170" s="22" t="s">
        <v>25</v>
      </c>
      <c r="M170" s="25">
        <f t="shared" si="17"/>
        <v>35</v>
      </c>
      <c r="N170" s="29">
        <f t="shared" si="18"/>
        <v>245</v>
      </c>
      <c r="O170" s="29">
        <f t="shared" si="19"/>
        <v>35</v>
      </c>
    </row>
    <row r="171" spans="1:15">
      <c r="A171" s="17" t="s">
        <v>281</v>
      </c>
      <c r="B171" s="18">
        <v>46167</v>
      </c>
      <c r="C171" s="18">
        <v>46167</v>
      </c>
      <c r="D171" s="19" t="s">
        <v>50</v>
      </c>
      <c r="E171" s="19" t="s">
        <v>51</v>
      </c>
      <c r="F171" s="19" t="s">
        <v>52</v>
      </c>
      <c r="G171" s="19" t="s">
        <v>23</v>
      </c>
      <c r="H171" s="19" t="s">
        <v>17</v>
      </c>
      <c r="I171" s="19">
        <v>9</v>
      </c>
      <c r="J171" s="28">
        <f t="shared" si="15"/>
        <v>30</v>
      </c>
      <c r="K171" s="28">
        <f t="shared" si="16"/>
        <v>270</v>
      </c>
      <c r="L171" s="19" t="s">
        <v>18</v>
      </c>
      <c r="M171" s="24">
        <f t="shared" si="17"/>
        <v>35</v>
      </c>
      <c r="N171" s="28">
        <f t="shared" si="18"/>
        <v>315</v>
      </c>
      <c r="O171" s="28">
        <f t="shared" si="19"/>
        <v>45</v>
      </c>
    </row>
    <row r="172" spans="1:15">
      <c r="A172" s="20" t="s">
        <v>282</v>
      </c>
      <c r="B172" s="21">
        <v>46167</v>
      </c>
      <c r="C172" s="21">
        <v>46168</v>
      </c>
      <c r="D172" s="22" t="s">
        <v>76</v>
      </c>
      <c r="E172" s="22" t="s">
        <v>14</v>
      </c>
      <c r="F172" s="22" t="s">
        <v>55</v>
      </c>
      <c r="G172" s="22" t="s">
        <v>56</v>
      </c>
      <c r="H172" s="22" t="s">
        <v>31</v>
      </c>
      <c r="I172" s="22">
        <v>40</v>
      </c>
      <c r="J172" s="29">
        <f t="shared" si="15"/>
        <v>110</v>
      </c>
      <c r="K172" s="29">
        <f t="shared" si="16"/>
        <v>4400</v>
      </c>
      <c r="L172" s="22" t="s">
        <v>32</v>
      </c>
      <c r="M172" s="25">
        <f t="shared" si="17"/>
        <v>120</v>
      </c>
      <c r="N172" s="29">
        <f t="shared" si="18"/>
        <v>4800</v>
      </c>
      <c r="O172" s="29">
        <f t="shared" si="19"/>
        <v>400</v>
      </c>
    </row>
    <row r="173" spans="1:15">
      <c r="A173" s="17" t="s">
        <v>283</v>
      </c>
      <c r="B173" s="18">
        <v>46168</v>
      </c>
      <c r="C173" s="18">
        <v>46168</v>
      </c>
      <c r="D173" s="19" t="s">
        <v>59</v>
      </c>
      <c r="E173" s="19" t="s">
        <v>21</v>
      </c>
      <c r="F173" s="19" t="s">
        <v>60</v>
      </c>
      <c r="G173" s="19" t="s">
        <v>61</v>
      </c>
      <c r="H173" s="19" t="s">
        <v>17</v>
      </c>
      <c r="I173" s="19">
        <v>22</v>
      </c>
      <c r="J173" s="28">
        <f t="shared" si="15"/>
        <v>30</v>
      </c>
      <c r="K173" s="28">
        <f t="shared" si="16"/>
        <v>660</v>
      </c>
      <c r="L173" s="19" t="s">
        <v>18</v>
      </c>
      <c r="M173" s="24">
        <f t="shared" si="17"/>
        <v>35</v>
      </c>
      <c r="N173" s="28">
        <f t="shared" si="18"/>
        <v>770</v>
      </c>
      <c r="O173" s="28">
        <f t="shared" si="19"/>
        <v>110</v>
      </c>
    </row>
    <row r="174" spans="1:15">
      <c r="A174" s="20" t="s">
        <v>284</v>
      </c>
      <c r="B174" s="21">
        <v>46168</v>
      </c>
      <c r="C174" s="21">
        <v>46169</v>
      </c>
      <c r="D174" s="22" t="s">
        <v>63</v>
      </c>
      <c r="E174" s="22" t="s">
        <v>40</v>
      </c>
      <c r="F174" s="22" t="s">
        <v>64</v>
      </c>
      <c r="G174" s="22" t="s">
        <v>65</v>
      </c>
      <c r="H174" s="22" t="s">
        <v>43</v>
      </c>
      <c r="I174" s="22">
        <v>8</v>
      </c>
      <c r="J174" s="29">
        <f t="shared" si="15"/>
        <v>950</v>
      </c>
      <c r="K174" s="29">
        <f t="shared" si="16"/>
        <v>7600</v>
      </c>
      <c r="L174" s="22" t="s">
        <v>25</v>
      </c>
      <c r="M174" s="25">
        <f t="shared" si="17"/>
        <v>1000</v>
      </c>
      <c r="N174" s="29">
        <f t="shared" si="18"/>
        <v>8000</v>
      </c>
      <c r="O174" s="29">
        <f t="shared" si="19"/>
        <v>400</v>
      </c>
    </row>
    <row r="175" spans="1:15">
      <c r="A175" s="17" t="s">
        <v>285</v>
      </c>
      <c r="B175" s="18">
        <v>46169</v>
      </c>
      <c r="C175" s="18">
        <v>46169</v>
      </c>
      <c r="D175" s="19" t="s">
        <v>80</v>
      </c>
      <c r="E175" s="19" t="s">
        <v>28</v>
      </c>
      <c r="F175" s="19" t="s">
        <v>81</v>
      </c>
      <c r="G175" s="19" t="s">
        <v>30</v>
      </c>
      <c r="H175" s="19" t="s">
        <v>43</v>
      </c>
      <c r="I175" s="19">
        <v>9</v>
      </c>
      <c r="J175" s="28">
        <f t="shared" si="15"/>
        <v>950</v>
      </c>
      <c r="K175" s="28">
        <f t="shared" si="16"/>
        <v>8550</v>
      </c>
      <c r="L175" s="19" t="s">
        <v>44</v>
      </c>
      <c r="M175" s="24">
        <f t="shared" si="17"/>
        <v>1000</v>
      </c>
      <c r="N175" s="28">
        <f t="shared" si="18"/>
        <v>9000</v>
      </c>
      <c r="O175" s="28">
        <f t="shared" si="19"/>
        <v>450</v>
      </c>
    </row>
    <row r="176" spans="1:15">
      <c r="A176" s="20" t="s">
        <v>286</v>
      </c>
      <c r="B176" s="21">
        <v>46169</v>
      </c>
      <c r="C176" s="21">
        <v>46170</v>
      </c>
      <c r="D176" s="22" t="s">
        <v>83</v>
      </c>
      <c r="E176" s="22" t="s">
        <v>21</v>
      </c>
      <c r="F176" s="22" t="s">
        <v>84</v>
      </c>
      <c r="G176" s="22" t="s">
        <v>16</v>
      </c>
      <c r="H176" s="22" t="s">
        <v>57</v>
      </c>
      <c r="I176" s="22">
        <v>7</v>
      </c>
      <c r="J176" s="29">
        <f t="shared" si="15"/>
        <v>120</v>
      </c>
      <c r="K176" s="29">
        <f t="shared" si="16"/>
        <v>840</v>
      </c>
      <c r="L176" s="22" t="s">
        <v>18</v>
      </c>
      <c r="M176" s="25">
        <f t="shared" si="17"/>
        <v>130</v>
      </c>
      <c r="N176" s="29">
        <f t="shared" si="18"/>
        <v>910</v>
      </c>
      <c r="O176" s="29">
        <f t="shared" si="19"/>
        <v>70</v>
      </c>
    </row>
    <row r="177" spans="1:15">
      <c r="A177" s="17" t="s">
        <v>287</v>
      </c>
      <c r="B177" s="18">
        <v>46170</v>
      </c>
      <c r="C177" s="18">
        <v>46170</v>
      </c>
      <c r="D177" s="19" t="s">
        <v>86</v>
      </c>
      <c r="E177" s="19" t="s">
        <v>14</v>
      </c>
      <c r="F177" s="19" t="s">
        <v>87</v>
      </c>
      <c r="G177" s="19" t="s">
        <v>42</v>
      </c>
      <c r="H177" s="19" t="s">
        <v>24</v>
      </c>
      <c r="I177" s="19">
        <v>11</v>
      </c>
      <c r="J177" s="28">
        <f t="shared" si="15"/>
        <v>20</v>
      </c>
      <c r="K177" s="28">
        <f t="shared" si="16"/>
        <v>220</v>
      </c>
      <c r="L177" s="19" t="s">
        <v>32</v>
      </c>
      <c r="M177" s="24">
        <f t="shared" si="17"/>
        <v>25</v>
      </c>
      <c r="N177" s="28">
        <f t="shared" si="18"/>
        <v>275</v>
      </c>
      <c r="O177" s="28">
        <f t="shared" si="19"/>
        <v>55</v>
      </c>
    </row>
    <row r="178" spans="1:15">
      <c r="A178" s="20" t="s">
        <v>288</v>
      </c>
      <c r="B178" s="21">
        <v>46170</v>
      </c>
      <c r="C178" s="21">
        <v>46171</v>
      </c>
      <c r="D178" s="22" t="s">
        <v>89</v>
      </c>
      <c r="E178" s="22" t="s">
        <v>40</v>
      </c>
      <c r="F178" s="22" t="s">
        <v>90</v>
      </c>
      <c r="G178" s="22" t="s">
        <v>23</v>
      </c>
      <c r="H178" s="22" t="s">
        <v>24</v>
      </c>
      <c r="I178" s="22">
        <v>50</v>
      </c>
      <c r="J178" s="29">
        <f t="shared" si="15"/>
        <v>20</v>
      </c>
      <c r="K178" s="29">
        <f t="shared" si="16"/>
        <v>1000</v>
      </c>
      <c r="L178" s="22" t="s">
        <v>25</v>
      </c>
      <c r="M178" s="25">
        <f t="shared" si="17"/>
        <v>25</v>
      </c>
      <c r="N178" s="29">
        <f t="shared" si="18"/>
        <v>1250</v>
      </c>
      <c r="O178" s="29">
        <f t="shared" si="19"/>
        <v>250</v>
      </c>
    </row>
    <row r="179" spans="1:15">
      <c r="A179" s="17" t="s">
        <v>289</v>
      </c>
      <c r="B179" s="18">
        <v>46171</v>
      </c>
      <c r="C179" s="18">
        <v>46171</v>
      </c>
      <c r="D179" s="19" t="s">
        <v>92</v>
      </c>
      <c r="E179" s="19" t="s">
        <v>51</v>
      </c>
      <c r="F179" s="19" t="s">
        <v>93</v>
      </c>
      <c r="G179" s="19" t="s">
        <v>36</v>
      </c>
      <c r="H179" s="19" t="s">
        <v>43</v>
      </c>
      <c r="I179" s="19">
        <v>9</v>
      </c>
      <c r="J179" s="28">
        <f t="shared" si="15"/>
        <v>950</v>
      </c>
      <c r="K179" s="28">
        <f t="shared" si="16"/>
        <v>8550</v>
      </c>
      <c r="L179" s="19" t="s">
        <v>18</v>
      </c>
      <c r="M179" s="24">
        <f t="shared" si="17"/>
        <v>1000</v>
      </c>
      <c r="N179" s="28">
        <f t="shared" si="18"/>
        <v>9000</v>
      </c>
      <c r="O179" s="28">
        <f t="shared" si="19"/>
        <v>450</v>
      </c>
    </row>
    <row r="180" spans="1:15">
      <c r="A180" s="20" t="s">
        <v>290</v>
      </c>
      <c r="B180" s="21">
        <v>46171</v>
      </c>
      <c r="C180" s="21">
        <v>46172</v>
      </c>
      <c r="D180" s="22" t="s">
        <v>95</v>
      </c>
      <c r="E180" s="22" t="s">
        <v>47</v>
      </c>
      <c r="F180" s="22" t="s">
        <v>96</v>
      </c>
      <c r="G180" s="22" t="s">
        <v>56</v>
      </c>
      <c r="H180" s="22" t="s">
        <v>57</v>
      </c>
      <c r="I180" s="22">
        <v>12</v>
      </c>
      <c r="J180" s="29">
        <f t="shared" si="15"/>
        <v>120</v>
      </c>
      <c r="K180" s="29">
        <f t="shared" si="16"/>
        <v>1440</v>
      </c>
      <c r="L180" s="22" t="s">
        <v>44</v>
      </c>
      <c r="M180" s="25">
        <f t="shared" si="17"/>
        <v>130</v>
      </c>
      <c r="N180" s="29">
        <f t="shared" si="18"/>
        <v>1560</v>
      </c>
      <c r="O180" s="29">
        <f t="shared" si="19"/>
        <v>120</v>
      </c>
    </row>
    <row r="181" spans="1:15">
      <c r="A181" s="17" t="s">
        <v>291</v>
      </c>
      <c r="B181" s="18">
        <v>46172</v>
      </c>
      <c r="C181" s="18">
        <v>46172</v>
      </c>
      <c r="D181" s="19" t="s">
        <v>98</v>
      </c>
      <c r="E181" s="19" t="s">
        <v>21</v>
      </c>
      <c r="F181" s="19" t="s">
        <v>99</v>
      </c>
      <c r="G181" s="19" t="s">
        <v>42</v>
      </c>
      <c r="H181" s="19" t="s">
        <v>43</v>
      </c>
      <c r="I181" s="19">
        <v>12</v>
      </c>
      <c r="J181" s="28">
        <f t="shared" si="15"/>
        <v>950</v>
      </c>
      <c r="K181" s="28">
        <f t="shared" si="16"/>
        <v>11400</v>
      </c>
      <c r="L181" s="19" t="s">
        <v>18</v>
      </c>
      <c r="M181" s="24">
        <f t="shared" si="17"/>
        <v>1000</v>
      </c>
      <c r="N181" s="28">
        <f t="shared" si="18"/>
        <v>12000</v>
      </c>
      <c r="O181" s="28">
        <f t="shared" si="19"/>
        <v>600</v>
      </c>
    </row>
    <row r="182" spans="1:15">
      <c r="A182" s="20" t="s">
        <v>292</v>
      </c>
      <c r="B182" s="21">
        <v>46172</v>
      </c>
      <c r="C182" s="21">
        <v>46173</v>
      </c>
      <c r="D182" s="22" t="s">
        <v>101</v>
      </c>
      <c r="E182" s="22" t="s">
        <v>14</v>
      </c>
      <c r="F182" s="22" t="s">
        <v>102</v>
      </c>
      <c r="G182" s="22" t="s">
        <v>30</v>
      </c>
      <c r="H182" s="22" t="s">
        <v>31</v>
      </c>
      <c r="I182" s="22">
        <v>11</v>
      </c>
      <c r="J182" s="29">
        <f t="shared" si="15"/>
        <v>110</v>
      </c>
      <c r="K182" s="29">
        <f t="shared" si="16"/>
        <v>1210</v>
      </c>
      <c r="L182" s="22" t="s">
        <v>25</v>
      </c>
      <c r="M182" s="25">
        <f t="shared" si="17"/>
        <v>120</v>
      </c>
      <c r="N182" s="29">
        <f t="shared" si="18"/>
        <v>1320</v>
      </c>
      <c r="O182" s="29">
        <f t="shared" si="19"/>
        <v>110</v>
      </c>
    </row>
    <row r="183" spans="1:15">
      <c r="A183" s="17" t="s">
        <v>293</v>
      </c>
      <c r="B183" s="18">
        <v>46173</v>
      </c>
      <c r="C183" s="18">
        <v>46173</v>
      </c>
      <c r="D183" s="19" t="s">
        <v>104</v>
      </c>
      <c r="E183" s="19" t="s">
        <v>40</v>
      </c>
      <c r="F183" s="19" t="s">
        <v>105</v>
      </c>
      <c r="G183" s="19" t="s">
        <v>16</v>
      </c>
      <c r="H183" s="19" t="s">
        <v>24</v>
      </c>
      <c r="I183" s="19">
        <v>15</v>
      </c>
      <c r="J183" s="28">
        <f t="shared" si="15"/>
        <v>20</v>
      </c>
      <c r="K183" s="28">
        <f t="shared" si="16"/>
        <v>300</v>
      </c>
      <c r="L183" s="19" t="s">
        <v>32</v>
      </c>
      <c r="M183" s="24">
        <f t="shared" si="17"/>
        <v>25</v>
      </c>
      <c r="N183" s="28">
        <f t="shared" si="18"/>
        <v>375</v>
      </c>
      <c r="O183" s="28">
        <f t="shared" si="19"/>
        <v>75</v>
      </c>
    </row>
    <row r="184" spans="1:15">
      <c r="A184" s="20" t="s">
        <v>294</v>
      </c>
      <c r="B184" s="21">
        <v>46173</v>
      </c>
      <c r="C184" s="21">
        <v>46174</v>
      </c>
      <c r="D184" s="22" t="s">
        <v>107</v>
      </c>
      <c r="E184" s="22" t="s">
        <v>28</v>
      </c>
      <c r="F184" s="22" t="s">
        <v>108</v>
      </c>
      <c r="G184" s="22" t="s">
        <v>65</v>
      </c>
      <c r="H184" s="22" t="s">
        <v>66</v>
      </c>
      <c r="I184" s="22">
        <v>9</v>
      </c>
      <c r="J184" s="29">
        <f t="shared" si="15"/>
        <v>220</v>
      </c>
      <c r="K184" s="29">
        <f t="shared" si="16"/>
        <v>1980</v>
      </c>
      <c r="L184" s="22" t="s">
        <v>18</v>
      </c>
      <c r="M184" s="25">
        <f t="shared" si="17"/>
        <v>230</v>
      </c>
      <c r="N184" s="29">
        <f t="shared" si="18"/>
        <v>2070</v>
      </c>
      <c r="O184" s="29">
        <f t="shared" si="19"/>
        <v>90</v>
      </c>
    </row>
    <row r="185" spans="1:15">
      <c r="A185" s="17" t="s">
        <v>141</v>
      </c>
      <c r="B185" s="18">
        <v>46174</v>
      </c>
      <c r="C185" s="18">
        <v>46174</v>
      </c>
      <c r="D185" s="19" t="s">
        <v>110</v>
      </c>
      <c r="E185" s="19" t="s">
        <v>21</v>
      </c>
      <c r="F185" s="19" t="s">
        <v>111</v>
      </c>
      <c r="G185" s="19" t="s">
        <v>61</v>
      </c>
      <c r="H185" s="19" t="s">
        <v>17</v>
      </c>
      <c r="I185" s="19">
        <v>12</v>
      </c>
      <c r="J185" s="28">
        <f t="shared" si="15"/>
        <v>30</v>
      </c>
      <c r="K185" s="28">
        <f t="shared" si="16"/>
        <v>360</v>
      </c>
      <c r="L185" s="19" t="s">
        <v>44</v>
      </c>
      <c r="M185" s="24">
        <f t="shared" si="17"/>
        <v>35</v>
      </c>
      <c r="N185" s="28">
        <f t="shared" si="18"/>
        <v>420</v>
      </c>
      <c r="O185" s="28">
        <f t="shared" si="19"/>
        <v>60</v>
      </c>
    </row>
    <row r="186" spans="1:15">
      <c r="A186" s="20" t="s">
        <v>142</v>
      </c>
      <c r="B186" s="21">
        <v>46174</v>
      </c>
      <c r="C186" s="21">
        <v>46175</v>
      </c>
      <c r="D186" s="22" t="s">
        <v>113</v>
      </c>
      <c r="E186" s="22" t="s">
        <v>14</v>
      </c>
      <c r="F186" s="22" t="s">
        <v>114</v>
      </c>
      <c r="G186" s="22" t="s">
        <v>23</v>
      </c>
      <c r="H186" s="22" t="s">
        <v>24</v>
      </c>
      <c r="I186" s="22">
        <v>55</v>
      </c>
      <c r="J186" s="29">
        <f t="shared" si="15"/>
        <v>20</v>
      </c>
      <c r="K186" s="29">
        <f t="shared" si="16"/>
        <v>1100</v>
      </c>
      <c r="L186" s="22" t="s">
        <v>18</v>
      </c>
      <c r="M186" s="25">
        <f t="shared" si="17"/>
        <v>25</v>
      </c>
      <c r="N186" s="29">
        <f t="shared" si="18"/>
        <v>1375</v>
      </c>
      <c r="O186" s="29">
        <f t="shared" si="19"/>
        <v>275</v>
      </c>
    </row>
    <row r="187" spans="1:15">
      <c r="A187" s="17" t="s">
        <v>143</v>
      </c>
      <c r="B187" s="18">
        <v>46175</v>
      </c>
      <c r="C187" s="18">
        <v>46175</v>
      </c>
      <c r="D187" s="19" t="s">
        <v>116</v>
      </c>
      <c r="E187" s="19" t="s">
        <v>40</v>
      </c>
      <c r="F187" s="19" t="s">
        <v>117</v>
      </c>
      <c r="G187" s="19" t="s">
        <v>36</v>
      </c>
      <c r="H187" s="19" t="s">
        <v>37</v>
      </c>
      <c r="I187" s="19">
        <v>8</v>
      </c>
      <c r="J187" s="28">
        <f t="shared" si="15"/>
        <v>180</v>
      </c>
      <c r="K187" s="28">
        <f t="shared" si="16"/>
        <v>1440</v>
      </c>
      <c r="L187" s="19" t="s">
        <v>25</v>
      </c>
      <c r="M187" s="24">
        <f t="shared" si="17"/>
        <v>200</v>
      </c>
      <c r="N187" s="28">
        <f t="shared" si="18"/>
        <v>1600</v>
      </c>
      <c r="O187" s="28">
        <f t="shared" si="19"/>
        <v>160</v>
      </c>
    </row>
    <row r="188" spans="1:15">
      <c r="A188" s="20" t="s">
        <v>144</v>
      </c>
      <c r="B188" s="21">
        <v>46175</v>
      </c>
      <c r="C188" s="21">
        <v>46176</v>
      </c>
      <c r="D188" s="22" t="s">
        <v>119</v>
      </c>
      <c r="E188" s="22" t="s">
        <v>51</v>
      </c>
      <c r="F188" s="22" t="s">
        <v>120</v>
      </c>
      <c r="G188" s="22" t="s">
        <v>16</v>
      </c>
      <c r="H188" s="22" t="s">
        <v>17</v>
      </c>
      <c r="I188" s="22">
        <v>10</v>
      </c>
      <c r="J188" s="29">
        <f t="shared" si="15"/>
        <v>30</v>
      </c>
      <c r="K188" s="29">
        <f t="shared" si="16"/>
        <v>300</v>
      </c>
      <c r="L188" s="22" t="s">
        <v>32</v>
      </c>
      <c r="M188" s="25">
        <f t="shared" si="17"/>
        <v>35</v>
      </c>
      <c r="N188" s="29">
        <f t="shared" si="18"/>
        <v>350</v>
      </c>
      <c r="O188" s="29">
        <f t="shared" si="19"/>
        <v>50</v>
      </c>
    </row>
    <row r="189" spans="1:15">
      <c r="A189" s="17" t="s">
        <v>145</v>
      </c>
      <c r="B189" s="18">
        <v>46176</v>
      </c>
      <c r="C189" s="18">
        <v>46176</v>
      </c>
      <c r="D189" s="19" t="s">
        <v>122</v>
      </c>
      <c r="E189" s="19" t="s">
        <v>47</v>
      </c>
      <c r="F189" s="19" t="s">
        <v>123</v>
      </c>
      <c r="G189" s="19" t="s">
        <v>42</v>
      </c>
      <c r="H189" s="19" t="s">
        <v>24</v>
      </c>
      <c r="I189" s="19">
        <v>8</v>
      </c>
      <c r="J189" s="28">
        <f t="shared" si="15"/>
        <v>20</v>
      </c>
      <c r="K189" s="28">
        <f t="shared" si="16"/>
        <v>160</v>
      </c>
      <c r="L189" s="19" t="s">
        <v>18</v>
      </c>
      <c r="M189" s="24">
        <f t="shared" si="17"/>
        <v>25</v>
      </c>
      <c r="N189" s="28">
        <f t="shared" si="18"/>
        <v>200</v>
      </c>
      <c r="O189" s="28">
        <f t="shared" si="19"/>
        <v>40</v>
      </c>
    </row>
    <row r="190" spans="1:15">
      <c r="A190" s="20" t="s">
        <v>146</v>
      </c>
      <c r="B190" s="21">
        <v>46176</v>
      </c>
      <c r="C190" s="21">
        <v>46177</v>
      </c>
      <c r="D190" s="22" t="s">
        <v>68</v>
      </c>
      <c r="E190" s="22" t="s">
        <v>14</v>
      </c>
      <c r="F190" s="22" t="s">
        <v>15</v>
      </c>
      <c r="G190" s="22" t="s">
        <v>16</v>
      </c>
      <c r="H190" s="22" t="s">
        <v>57</v>
      </c>
      <c r="I190" s="22">
        <v>9</v>
      </c>
      <c r="J190" s="29">
        <f t="shared" si="15"/>
        <v>120</v>
      </c>
      <c r="K190" s="29">
        <f t="shared" si="16"/>
        <v>1080</v>
      </c>
      <c r="L190" s="22" t="s">
        <v>18</v>
      </c>
      <c r="M190" s="25">
        <f t="shared" si="17"/>
        <v>130</v>
      </c>
      <c r="N190" s="29">
        <f t="shared" si="18"/>
        <v>1170</v>
      </c>
      <c r="O190" s="29">
        <f t="shared" si="19"/>
        <v>90</v>
      </c>
    </row>
    <row r="191" spans="1:15">
      <c r="A191" s="17" t="s">
        <v>147</v>
      </c>
      <c r="B191" s="18">
        <v>46177</v>
      </c>
      <c r="C191" s="18">
        <v>46177</v>
      </c>
      <c r="D191" s="19" t="s">
        <v>20</v>
      </c>
      <c r="E191" s="19" t="s">
        <v>21</v>
      </c>
      <c r="F191" s="19" t="s">
        <v>22</v>
      </c>
      <c r="G191" s="19" t="s">
        <v>23</v>
      </c>
      <c r="H191" s="19" t="s">
        <v>53</v>
      </c>
      <c r="I191" s="19">
        <v>10</v>
      </c>
      <c r="J191" s="28">
        <f t="shared" si="15"/>
        <v>30</v>
      </c>
      <c r="K191" s="28">
        <f t="shared" si="16"/>
        <v>300</v>
      </c>
      <c r="L191" s="19" t="s">
        <v>25</v>
      </c>
      <c r="M191" s="24">
        <f t="shared" si="17"/>
        <v>40</v>
      </c>
      <c r="N191" s="28">
        <f t="shared" si="18"/>
        <v>400</v>
      </c>
      <c r="O191" s="28">
        <f t="shared" si="19"/>
        <v>100</v>
      </c>
    </row>
    <row r="192" spans="1:15">
      <c r="A192" s="20" t="s">
        <v>148</v>
      </c>
      <c r="B192" s="21">
        <v>46177</v>
      </c>
      <c r="C192" s="21">
        <v>46178</v>
      </c>
      <c r="D192" s="22" t="s">
        <v>27</v>
      </c>
      <c r="E192" s="22" t="s">
        <v>28</v>
      </c>
      <c r="F192" s="22" t="s">
        <v>29</v>
      </c>
      <c r="G192" s="22" t="s">
        <v>30</v>
      </c>
      <c r="H192" s="22" t="s">
        <v>57</v>
      </c>
      <c r="I192" s="22">
        <v>7</v>
      </c>
      <c r="J192" s="29">
        <f t="shared" si="15"/>
        <v>120</v>
      </c>
      <c r="K192" s="29">
        <f t="shared" si="16"/>
        <v>840</v>
      </c>
      <c r="L192" s="22" t="s">
        <v>32</v>
      </c>
      <c r="M192" s="25">
        <f t="shared" si="17"/>
        <v>130</v>
      </c>
      <c r="N192" s="29">
        <f t="shared" si="18"/>
        <v>910</v>
      </c>
      <c r="O192" s="29">
        <f t="shared" si="19"/>
        <v>70</v>
      </c>
    </row>
    <row r="193" spans="1:15">
      <c r="A193" s="17" t="s">
        <v>150</v>
      </c>
      <c r="B193" s="18">
        <v>46178</v>
      </c>
      <c r="C193" s="18">
        <v>46178</v>
      </c>
      <c r="D193" s="19" t="s">
        <v>34</v>
      </c>
      <c r="E193" s="19" t="s">
        <v>14</v>
      </c>
      <c r="F193" s="19" t="s">
        <v>35</v>
      </c>
      <c r="G193" s="19" t="s">
        <v>36</v>
      </c>
      <c r="H193" s="19" t="s">
        <v>17</v>
      </c>
      <c r="I193" s="19">
        <v>22</v>
      </c>
      <c r="J193" s="28">
        <f t="shared" si="15"/>
        <v>30</v>
      </c>
      <c r="K193" s="28">
        <f t="shared" si="16"/>
        <v>660</v>
      </c>
      <c r="L193" s="19" t="s">
        <v>18</v>
      </c>
      <c r="M193" s="24">
        <f t="shared" si="17"/>
        <v>35</v>
      </c>
      <c r="N193" s="28">
        <f t="shared" si="18"/>
        <v>770</v>
      </c>
      <c r="O193" s="28">
        <f t="shared" si="19"/>
        <v>110</v>
      </c>
    </row>
    <row r="194" spans="1:15">
      <c r="A194" s="20" t="s">
        <v>151</v>
      </c>
      <c r="B194" s="21">
        <v>46178</v>
      </c>
      <c r="C194" s="21">
        <v>46179</v>
      </c>
      <c r="D194" s="22" t="s">
        <v>39</v>
      </c>
      <c r="E194" s="22" t="s">
        <v>40</v>
      </c>
      <c r="F194" s="22" t="s">
        <v>41</v>
      </c>
      <c r="G194" s="22" t="s">
        <v>42</v>
      </c>
      <c r="H194" s="22" t="s">
        <v>43</v>
      </c>
      <c r="I194" s="22">
        <v>6</v>
      </c>
      <c r="J194" s="29">
        <f t="shared" si="15"/>
        <v>950</v>
      </c>
      <c r="K194" s="29">
        <f t="shared" si="16"/>
        <v>5700</v>
      </c>
      <c r="L194" s="22" t="s">
        <v>44</v>
      </c>
      <c r="M194" s="25">
        <f t="shared" si="17"/>
        <v>1000</v>
      </c>
      <c r="N194" s="29">
        <f t="shared" si="18"/>
        <v>6000</v>
      </c>
      <c r="O194" s="29">
        <f t="shared" si="19"/>
        <v>300</v>
      </c>
    </row>
    <row r="195" spans="1:15">
      <c r="A195" s="17" t="s">
        <v>152</v>
      </c>
      <c r="B195" s="18">
        <v>46179</v>
      </c>
      <c r="C195" s="18">
        <v>46179</v>
      </c>
      <c r="D195" s="19" t="s">
        <v>46</v>
      </c>
      <c r="E195" s="19" t="s">
        <v>47</v>
      </c>
      <c r="F195" s="19" t="s">
        <v>48</v>
      </c>
      <c r="G195" s="19" t="s">
        <v>16</v>
      </c>
      <c r="H195" s="19" t="s">
        <v>17</v>
      </c>
      <c r="I195" s="19">
        <v>8</v>
      </c>
      <c r="J195" s="28">
        <f t="shared" si="15"/>
        <v>30</v>
      </c>
      <c r="K195" s="28">
        <f t="shared" si="16"/>
        <v>240</v>
      </c>
      <c r="L195" s="19" t="s">
        <v>25</v>
      </c>
      <c r="M195" s="24">
        <f t="shared" si="17"/>
        <v>35</v>
      </c>
      <c r="N195" s="28">
        <f t="shared" si="18"/>
        <v>280</v>
      </c>
      <c r="O195" s="28">
        <f t="shared" si="19"/>
        <v>40</v>
      </c>
    </row>
    <row r="196" spans="1:15">
      <c r="A196" s="20" t="s">
        <v>153</v>
      </c>
      <c r="B196" s="21">
        <v>46179</v>
      </c>
      <c r="C196" s="21">
        <v>46180</v>
      </c>
      <c r="D196" s="22" t="s">
        <v>50</v>
      </c>
      <c r="E196" s="22" t="s">
        <v>51</v>
      </c>
      <c r="F196" s="22" t="s">
        <v>52</v>
      </c>
      <c r="G196" s="22" t="s">
        <v>23</v>
      </c>
      <c r="H196" s="22" t="s">
        <v>17</v>
      </c>
      <c r="I196" s="22">
        <v>10</v>
      </c>
      <c r="J196" s="29">
        <f t="shared" si="15"/>
        <v>30</v>
      </c>
      <c r="K196" s="29">
        <f t="shared" si="16"/>
        <v>300</v>
      </c>
      <c r="L196" s="22" t="s">
        <v>18</v>
      </c>
      <c r="M196" s="25">
        <f t="shared" si="17"/>
        <v>35</v>
      </c>
      <c r="N196" s="29">
        <f t="shared" si="18"/>
        <v>350</v>
      </c>
      <c r="O196" s="29">
        <f t="shared" si="19"/>
        <v>50</v>
      </c>
    </row>
    <row r="197" spans="1:15">
      <c r="A197" s="17" t="s">
        <v>154</v>
      </c>
      <c r="B197" s="18">
        <v>46180</v>
      </c>
      <c r="C197" s="18">
        <v>46180</v>
      </c>
      <c r="D197" s="19" t="s">
        <v>149</v>
      </c>
      <c r="E197" s="19" t="s">
        <v>14</v>
      </c>
      <c r="F197" s="19" t="s">
        <v>55</v>
      </c>
      <c r="G197" s="19" t="s">
        <v>56</v>
      </c>
      <c r="H197" s="19" t="s">
        <v>31</v>
      </c>
      <c r="I197" s="19">
        <v>45</v>
      </c>
      <c r="J197" s="28">
        <f t="shared" si="15"/>
        <v>110</v>
      </c>
      <c r="K197" s="28">
        <f t="shared" si="16"/>
        <v>4950</v>
      </c>
      <c r="L197" s="19" t="s">
        <v>32</v>
      </c>
      <c r="M197" s="24">
        <f t="shared" si="17"/>
        <v>120</v>
      </c>
      <c r="N197" s="28">
        <f t="shared" si="18"/>
        <v>5400</v>
      </c>
      <c r="O197" s="28">
        <f t="shared" si="19"/>
        <v>450</v>
      </c>
    </row>
    <row r="198" spans="1:15">
      <c r="A198" s="20" t="s">
        <v>155</v>
      </c>
      <c r="B198" s="21">
        <v>46180</v>
      </c>
      <c r="C198" s="21">
        <v>46181</v>
      </c>
      <c r="D198" s="22" t="s">
        <v>59</v>
      </c>
      <c r="E198" s="22" t="s">
        <v>21</v>
      </c>
      <c r="F198" s="22" t="s">
        <v>60</v>
      </c>
      <c r="G198" s="22" t="s">
        <v>61</v>
      </c>
      <c r="H198" s="22" t="s">
        <v>17</v>
      </c>
      <c r="I198" s="22">
        <v>25</v>
      </c>
      <c r="J198" s="29">
        <f t="shared" si="15"/>
        <v>30</v>
      </c>
      <c r="K198" s="29">
        <f t="shared" si="16"/>
        <v>750</v>
      </c>
      <c r="L198" s="22" t="s">
        <v>18</v>
      </c>
      <c r="M198" s="25">
        <f t="shared" si="17"/>
        <v>35</v>
      </c>
      <c r="N198" s="29">
        <f t="shared" si="18"/>
        <v>875</v>
      </c>
      <c r="O198" s="29">
        <f t="shared" si="19"/>
        <v>125</v>
      </c>
    </row>
    <row r="199" spans="1:15">
      <c r="A199" s="17" t="s">
        <v>156</v>
      </c>
      <c r="B199" s="18">
        <v>46181</v>
      </c>
      <c r="C199" s="18">
        <v>46181</v>
      </c>
      <c r="D199" s="19" t="s">
        <v>63</v>
      </c>
      <c r="E199" s="19" t="s">
        <v>40</v>
      </c>
      <c r="F199" s="19" t="s">
        <v>64</v>
      </c>
      <c r="G199" s="19" t="s">
        <v>65</v>
      </c>
      <c r="H199" s="19" t="s">
        <v>43</v>
      </c>
      <c r="I199" s="19">
        <v>9</v>
      </c>
      <c r="J199" s="28">
        <f t="shared" si="15"/>
        <v>950</v>
      </c>
      <c r="K199" s="28">
        <f t="shared" si="16"/>
        <v>8550</v>
      </c>
      <c r="L199" s="19" t="s">
        <v>25</v>
      </c>
      <c r="M199" s="24">
        <f t="shared" si="17"/>
        <v>1000</v>
      </c>
      <c r="N199" s="28">
        <f t="shared" si="18"/>
        <v>9000</v>
      </c>
      <c r="O199" s="28">
        <f t="shared" si="19"/>
        <v>450</v>
      </c>
    </row>
    <row r="200" spans="1:15">
      <c r="A200" s="20" t="s">
        <v>157</v>
      </c>
      <c r="B200" s="21">
        <v>46181</v>
      </c>
      <c r="C200" s="21">
        <v>46182</v>
      </c>
      <c r="D200" s="22" t="s">
        <v>80</v>
      </c>
      <c r="E200" s="22" t="s">
        <v>28</v>
      </c>
      <c r="F200" s="22" t="s">
        <v>81</v>
      </c>
      <c r="G200" s="22" t="s">
        <v>30</v>
      </c>
      <c r="H200" s="22" t="s">
        <v>43</v>
      </c>
      <c r="I200" s="22">
        <v>10</v>
      </c>
      <c r="J200" s="29">
        <f t="shared" si="15"/>
        <v>950</v>
      </c>
      <c r="K200" s="29">
        <f t="shared" si="16"/>
        <v>9500</v>
      </c>
      <c r="L200" s="22" t="s">
        <v>44</v>
      </c>
      <c r="M200" s="25">
        <f t="shared" si="17"/>
        <v>1000</v>
      </c>
      <c r="N200" s="29">
        <f t="shared" si="18"/>
        <v>10000</v>
      </c>
      <c r="O200" s="29">
        <f t="shared" si="19"/>
        <v>500</v>
      </c>
    </row>
    <row r="201" spans="1:15">
      <c r="A201" s="17" t="s">
        <v>158</v>
      </c>
      <c r="B201" s="18">
        <v>46182</v>
      </c>
      <c r="C201" s="18">
        <v>46182</v>
      </c>
      <c r="D201" s="19" t="s">
        <v>83</v>
      </c>
      <c r="E201" s="19" t="s">
        <v>21</v>
      </c>
      <c r="F201" s="19" t="s">
        <v>84</v>
      </c>
      <c r="G201" s="19" t="s">
        <v>16</v>
      </c>
      <c r="H201" s="19" t="s">
        <v>57</v>
      </c>
      <c r="I201" s="19">
        <v>8</v>
      </c>
      <c r="J201" s="28">
        <f t="shared" si="15"/>
        <v>120</v>
      </c>
      <c r="K201" s="28">
        <f t="shared" si="16"/>
        <v>960</v>
      </c>
      <c r="L201" s="19" t="s">
        <v>18</v>
      </c>
      <c r="M201" s="24">
        <f t="shared" si="17"/>
        <v>130</v>
      </c>
      <c r="N201" s="28">
        <f t="shared" si="18"/>
        <v>1040</v>
      </c>
      <c r="O201" s="28">
        <f t="shared" si="19"/>
        <v>80</v>
      </c>
    </row>
    <row r="202" spans="1:15">
      <c r="A202" s="20" t="s">
        <v>159</v>
      </c>
      <c r="B202" s="21">
        <v>46182</v>
      </c>
      <c r="C202" s="21">
        <v>46183</v>
      </c>
      <c r="D202" s="22" t="s">
        <v>86</v>
      </c>
      <c r="E202" s="22" t="s">
        <v>14</v>
      </c>
      <c r="F202" s="22" t="s">
        <v>87</v>
      </c>
      <c r="G202" s="22" t="s">
        <v>42</v>
      </c>
      <c r="H202" s="22" t="s">
        <v>24</v>
      </c>
      <c r="I202" s="22">
        <v>12</v>
      </c>
      <c r="J202" s="29">
        <f t="shared" si="15"/>
        <v>20</v>
      </c>
      <c r="K202" s="29">
        <f t="shared" si="16"/>
        <v>240</v>
      </c>
      <c r="L202" s="22" t="s">
        <v>32</v>
      </c>
      <c r="M202" s="25">
        <f t="shared" si="17"/>
        <v>25</v>
      </c>
      <c r="N202" s="29">
        <f t="shared" si="18"/>
        <v>300</v>
      </c>
      <c r="O202" s="29">
        <f t="shared" si="19"/>
        <v>60</v>
      </c>
    </row>
    <row r="203" spans="1:15">
      <c r="A203" s="17" t="s">
        <v>160</v>
      </c>
      <c r="B203" s="18">
        <v>46183</v>
      </c>
      <c r="C203" s="18">
        <v>46183</v>
      </c>
      <c r="D203" s="19" t="s">
        <v>89</v>
      </c>
      <c r="E203" s="19" t="s">
        <v>40</v>
      </c>
      <c r="F203" s="19" t="s">
        <v>90</v>
      </c>
      <c r="G203" s="19" t="s">
        <v>23</v>
      </c>
      <c r="H203" s="19" t="s">
        <v>24</v>
      </c>
      <c r="I203" s="19">
        <v>60</v>
      </c>
      <c r="J203" s="28">
        <f t="shared" si="15"/>
        <v>20</v>
      </c>
      <c r="K203" s="28">
        <f t="shared" si="16"/>
        <v>1200</v>
      </c>
      <c r="L203" s="19" t="s">
        <v>25</v>
      </c>
      <c r="M203" s="24">
        <f t="shared" si="17"/>
        <v>25</v>
      </c>
      <c r="N203" s="28">
        <f t="shared" si="18"/>
        <v>1500</v>
      </c>
      <c r="O203" s="28">
        <f t="shared" si="19"/>
        <v>300</v>
      </c>
    </row>
    <row r="204" spans="1:15">
      <c r="A204" s="20" t="s">
        <v>161</v>
      </c>
      <c r="B204" s="21">
        <v>46183</v>
      </c>
      <c r="C204" s="21">
        <v>46184</v>
      </c>
      <c r="D204" s="22" t="s">
        <v>92</v>
      </c>
      <c r="E204" s="22" t="s">
        <v>51</v>
      </c>
      <c r="F204" s="22" t="s">
        <v>93</v>
      </c>
      <c r="G204" s="22" t="s">
        <v>36</v>
      </c>
      <c r="H204" s="22" t="s">
        <v>43</v>
      </c>
      <c r="I204" s="22"/>
      <c r="J204" s="29">
        <f t="shared" si="15"/>
        <v>950</v>
      </c>
      <c r="K204" s="29">
        <f t="shared" si="16"/>
        <v>0</v>
      </c>
      <c r="L204" s="22" t="s">
        <v>18</v>
      </c>
      <c r="M204" s="25">
        <f t="shared" si="17"/>
        <v>1000</v>
      </c>
      <c r="N204" s="29">
        <f t="shared" si="18"/>
        <v>0</v>
      </c>
      <c r="O204" s="29">
        <f t="shared" si="19"/>
        <v>0</v>
      </c>
    </row>
    <row r="205" spans="1:15">
      <c r="A205" s="6"/>
    </row>
    <row r="206" spans="1:15">
      <c r="A206" s="6"/>
    </row>
  </sheetData>
  <mergeCells count="1">
    <mergeCell ref="A1:O3"/>
  </mergeCells>
  <conditionalFormatting sqref="Q201">
    <cfRule type="cellIs" dxfId="17" priority="16" operator="equal">
      <formula>"Milk"</formula>
    </cfRule>
  </conditionalFormatting>
  <dataValidations count="1">
    <dataValidation type="whole" operator="greaterThan" allowBlank="1" showInputMessage="1" showErrorMessage="1" sqref="M10 I4:I1048576">
      <formula1>0</formula1>
    </dataValidation>
  </dataValidations>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2"/>
  <sheetViews>
    <sheetView zoomScale="98" zoomScaleNormal="98" workbookViewId="0">
      <selection activeCell="U12" sqref="U12"/>
    </sheetView>
  </sheetViews>
  <sheetFormatPr defaultRowHeight="15"/>
  <cols>
    <col min="1" max="16384" width="9.140625" style="5"/>
  </cols>
  <sheetData>
    <row r="1" spans="1:21">
      <c r="A1" s="46" t="s">
        <v>308</v>
      </c>
      <c r="B1" s="47"/>
      <c r="C1" s="47"/>
      <c r="D1" s="47"/>
      <c r="E1" s="47"/>
      <c r="F1" s="47"/>
      <c r="G1" s="47"/>
      <c r="H1" s="47"/>
      <c r="I1" s="47"/>
      <c r="J1" s="47"/>
      <c r="K1" s="47"/>
      <c r="L1" s="47"/>
      <c r="M1" s="47"/>
      <c r="N1" s="47"/>
      <c r="O1" s="47"/>
      <c r="P1" s="47"/>
      <c r="Q1" s="47"/>
      <c r="R1" s="47"/>
      <c r="S1" s="47"/>
      <c r="T1" s="47"/>
      <c r="U1" s="47"/>
    </row>
    <row r="2" spans="1:21" ht="23.25" customHeight="1">
      <c r="A2" s="47"/>
      <c r="B2" s="47"/>
      <c r="C2" s="47"/>
      <c r="D2" s="47"/>
      <c r="E2" s="47"/>
      <c r="F2" s="47"/>
      <c r="G2" s="47"/>
      <c r="H2" s="47"/>
      <c r="I2" s="47"/>
      <c r="J2" s="47"/>
      <c r="K2" s="47"/>
      <c r="L2" s="47"/>
      <c r="M2" s="47"/>
      <c r="N2" s="47"/>
      <c r="O2" s="47"/>
      <c r="P2" s="47"/>
      <c r="Q2" s="47"/>
      <c r="R2" s="47"/>
      <c r="S2" s="47"/>
      <c r="T2" s="47"/>
      <c r="U2" s="47"/>
    </row>
    <row r="3" spans="1:21" ht="23.25" customHeight="1">
      <c r="B3" s="16"/>
      <c r="C3" s="16"/>
      <c r="D3" s="16"/>
      <c r="F3" s="13"/>
      <c r="G3" s="13"/>
      <c r="H3" s="13"/>
      <c r="J3" s="14"/>
      <c r="K3" s="14"/>
      <c r="L3" s="14"/>
      <c r="N3" s="15"/>
      <c r="O3" s="15"/>
      <c r="P3" s="15"/>
    </row>
    <row r="4" spans="1:21" ht="15" hidden="1" customHeight="1">
      <c r="B4" s="16"/>
      <c r="C4" s="16"/>
      <c r="D4" s="16"/>
      <c r="F4" s="13"/>
      <c r="G4" s="13"/>
      <c r="H4" s="13"/>
      <c r="J4" s="14"/>
      <c r="K4" s="14"/>
      <c r="L4" s="14"/>
      <c r="N4" s="15"/>
      <c r="O4" s="15"/>
      <c r="P4" s="15"/>
    </row>
    <row r="5" spans="1:21" ht="15" customHeight="1">
      <c r="B5" s="16"/>
      <c r="C5" s="16"/>
      <c r="D5" s="16"/>
      <c r="F5" s="13"/>
      <c r="G5" s="13"/>
      <c r="H5" s="13"/>
      <c r="J5" s="14"/>
      <c r="K5" s="14"/>
      <c r="L5" s="14"/>
      <c r="N5" s="15"/>
      <c r="O5" s="15"/>
      <c r="P5" s="15"/>
    </row>
    <row r="6" spans="1:21" ht="15.75">
      <c r="B6" s="48" t="s">
        <v>298</v>
      </c>
      <c r="C6" s="48"/>
      <c r="D6" s="48"/>
      <c r="F6" s="48" t="s">
        <v>299</v>
      </c>
      <c r="G6" s="48"/>
      <c r="H6" s="48"/>
      <c r="J6" s="48" t="s">
        <v>300</v>
      </c>
      <c r="K6" s="48"/>
      <c r="L6" s="48"/>
      <c r="N6" s="49"/>
      <c r="O6" s="49"/>
      <c r="P6" s="49"/>
    </row>
    <row r="10" spans="1:21" ht="30" customHeight="1">
      <c r="O10" s="5">
        <f ca="1">COUNTA(UNIQUE(BlinkitData[Product_Name]))</f>
        <v>1</v>
      </c>
    </row>
    <row r="11" spans="1:21" ht="7.5" customHeight="1"/>
    <row r="12" spans="1:21" ht="21">
      <c r="C12" s="34" t="s">
        <v>319</v>
      </c>
      <c r="D12" s="35"/>
      <c r="E12" s="35"/>
      <c r="F12" s="35"/>
      <c r="G12" s="35"/>
    </row>
    <row r="13" spans="1:21" ht="15.75">
      <c r="C13" s="32" t="s">
        <v>312</v>
      </c>
      <c r="D13" s="32"/>
      <c r="E13" s="32"/>
      <c r="F13" s="36"/>
      <c r="G13" s="36"/>
      <c r="H13" s="36"/>
      <c r="I13" s="36"/>
      <c r="J13" s="36"/>
      <c r="K13" s="36"/>
      <c r="L13" s="36"/>
    </row>
    <row r="14" spans="1:21" ht="15.75">
      <c r="C14" s="32" t="s">
        <v>313</v>
      </c>
      <c r="D14" s="32"/>
      <c r="E14" s="32"/>
      <c r="F14" s="36"/>
      <c r="G14" s="36"/>
      <c r="H14" s="36"/>
      <c r="I14" s="36"/>
      <c r="J14" s="36"/>
      <c r="K14" s="36"/>
      <c r="L14" s="36"/>
    </row>
    <row r="15" spans="1:21" ht="15.75">
      <c r="C15" s="32" t="s">
        <v>314</v>
      </c>
      <c r="D15" s="32"/>
      <c r="E15" s="32"/>
      <c r="F15" s="36"/>
      <c r="G15" s="36"/>
      <c r="H15" s="36"/>
      <c r="I15" s="36"/>
      <c r="J15" s="36"/>
      <c r="K15" s="36"/>
      <c r="L15" s="36"/>
    </row>
    <row r="16" spans="1:21" ht="15.75">
      <c r="C16" s="32" t="s">
        <v>315</v>
      </c>
      <c r="D16" s="32"/>
      <c r="E16" s="32"/>
      <c r="F16" s="36"/>
      <c r="G16" s="36"/>
      <c r="H16" s="36"/>
      <c r="I16" s="36"/>
      <c r="J16" s="36"/>
      <c r="K16" s="36"/>
      <c r="L16" s="36"/>
    </row>
    <row r="17" spans="3:22" ht="15.75">
      <c r="C17" s="32" t="s">
        <v>316</v>
      </c>
      <c r="D17" s="32"/>
      <c r="E17" s="37"/>
      <c r="F17" s="36"/>
      <c r="G17" s="36"/>
      <c r="H17" s="36"/>
      <c r="I17" s="36"/>
      <c r="J17" s="36"/>
      <c r="K17" s="36"/>
      <c r="L17" s="36"/>
    </row>
    <row r="18" spans="3:22" ht="15.75">
      <c r="C18" s="33" t="s">
        <v>317</v>
      </c>
      <c r="D18" s="33"/>
      <c r="E18" s="33"/>
    </row>
    <row r="19" spans="3:22">
      <c r="C19" s="5" t="s">
        <v>318</v>
      </c>
    </row>
    <row r="21" spans="3:22">
      <c r="N21" s="41" t="s">
        <v>320</v>
      </c>
      <c r="O21" s="40"/>
      <c r="P21" s="39"/>
      <c r="Q21" s="39"/>
      <c r="R21" s="39"/>
      <c r="S21" s="39"/>
      <c r="T21" s="39"/>
      <c r="V21" s="38"/>
    </row>
    <row r="22" spans="3:22">
      <c r="N22" s="39" t="s">
        <v>321</v>
      </c>
      <c r="O22" s="40"/>
      <c r="P22" s="39"/>
      <c r="Q22" s="39"/>
      <c r="R22" s="39"/>
      <c r="S22" s="39"/>
      <c r="T22" s="39"/>
      <c r="V22" s="38"/>
    </row>
  </sheetData>
  <mergeCells count="5">
    <mergeCell ref="A1:U2"/>
    <mergeCell ref="J6:L6"/>
    <mergeCell ref="N6:P6"/>
    <mergeCell ref="B6:D6"/>
    <mergeCell ref="F6:H6"/>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2"/>
  <sheetViews>
    <sheetView showGridLines="0" zoomScaleNormal="100" workbookViewId="0">
      <selection activeCell="L10" sqref="L10"/>
    </sheetView>
  </sheetViews>
  <sheetFormatPr defaultRowHeight="15"/>
  <cols>
    <col min="1" max="1" width="18.28515625" bestFit="1" customWidth="1"/>
    <col min="2" max="2" width="11.5703125" customWidth="1"/>
    <col min="3" max="3" width="6.7109375" customWidth="1"/>
    <col min="4" max="4" width="16.5703125" customWidth="1"/>
    <col min="5" max="5" width="13" customWidth="1"/>
    <col min="6" max="6" width="5.28515625" customWidth="1"/>
    <col min="7" max="7" width="16.5703125" customWidth="1"/>
    <col min="8" max="8" width="21.7109375" customWidth="1"/>
    <col min="9" max="9" width="7.7109375" customWidth="1"/>
    <col min="10" max="10" width="24.85546875" customWidth="1"/>
    <col min="11" max="11" width="20.7109375" customWidth="1"/>
    <col min="12" max="12" width="12.5703125" customWidth="1"/>
    <col min="13" max="30" width="16.28515625" bestFit="1" customWidth="1"/>
    <col min="31" max="31" width="11.28515625" bestFit="1" customWidth="1"/>
  </cols>
  <sheetData>
    <row r="1" spans="1:13" ht="32.25" customHeight="1">
      <c r="B1" s="50" t="s">
        <v>309</v>
      </c>
      <c r="C1" s="51"/>
      <c r="D1" s="51"/>
      <c r="E1" s="51"/>
      <c r="F1" s="51"/>
      <c r="G1" s="51"/>
      <c r="H1" s="51"/>
      <c r="I1" s="51"/>
      <c r="J1" s="51"/>
      <c r="K1" s="51"/>
      <c r="L1" s="51"/>
      <c r="M1" s="51"/>
    </row>
    <row r="2" spans="1:13" ht="50.25" customHeight="1">
      <c r="B2" s="9"/>
      <c r="C2" s="9"/>
      <c r="D2" s="9"/>
      <c r="E2" s="9"/>
      <c r="F2" s="9"/>
      <c r="G2" s="9"/>
      <c r="H2" s="9"/>
      <c r="I2" s="9"/>
      <c r="J2" s="9"/>
      <c r="K2" s="9"/>
      <c r="L2" s="9"/>
      <c r="M2" s="9"/>
    </row>
    <row r="3" spans="1:13" ht="20.25" customHeight="1">
      <c r="A3" s="1" t="s">
        <v>7</v>
      </c>
      <c r="B3" t="s">
        <v>302</v>
      </c>
    </row>
    <row r="4" spans="1:13" ht="82.5" hidden="1" customHeight="1"/>
    <row r="5" spans="1:13">
      <c r="A5" s="1" t="s">
        <v>3</v>
      </c>
      <c r="B5" t="s">
        <v>298</v>
      </c>
      <c r="D5" s="1" t="s">
        <v>7</v>
      </c>
      <c r="E5" t="s">
        <v>298</v>
      </c>
      <c r="G5" s="1" t="s">
        <v>7</v>
      </c>
      <c r="H5" t="s">
        <v>301</v>
      </c>
      <c r="J5" s="1" t="s">
        <v>303</v>
      </c>
      <c r="K5" t="s">
        <v>296</v>
      </c>
    </row>
    <row r="6" spans="1:13">
      <c r="A6" s="2" t="s">
        <v>98</v>
      </c>
      <c r="B6" s="3">
        <v>46070</v>
      </c>
      <c r="D6" s="2" t="s">
        <v>43</v>
      </c>
      <c r="E6" s="3">
        <v>46000</v>
      </c>
      <c r="G6" s="2" t="s">
        <v>43</v>
      </c>
      <c r="H6" s="3">
        <v>2300</v>
      </c>
      <c r="J6" s="2" t="s">
        <v>16</v>
      </c>
      <c r="K6" s="3">
        <v>4075</v>
      </c>
    </row>
    <row r="7" spans="1:13">
      <c r="A7" s="2" t="s">
        <v>59</v>
      </c>
      <c r="B7" s="3">
        <v>4620</v>
      </c>
      <c r="D7" s="2" t="s">
        <v>17</v>
      </c>
      <c r="E7" s="3">
        <v>6720</v>
      </c>
      <c r="G7" s="2" t="s">
        <v>17</v>
      </c>
      <c r="H7" s="3">
        <v>960</v>
      </c>
      <c r="J7" s="2" t="s">
        <v>42</v>
      </c>
      <c r="K7" s="3">
        <v>46070</v>
      </c>
    </row>
    <row r="8" spans="1:13">
      <c r="A8" s="2" t="s">
        <v>83</v>
      </c>
      <c r="B8" s="3">
        <v>4075</v>
      </c>
      <c r="D8" s="2" t="s">
        <v>57</v>
      </c>
      <c r="E8" s="3">
        <v>3900</v>
      </c>
      <c r="G8" s="2" t="s">
        <v>53</v>
      </c>
      <c r="H8" s="3">
        <v>400</v>
      </c>
      <c r="J8" s="2" t="s">
        <v>23</v>
      </c>
      <c r="K8" s="3">
        <v>2100</v>
      </c>
      <c r="M8" s="7"/>
    </row>
    <row r="9" spans="1:13">
      <c r="A9" s="2" t="s">
        <v>20</v>
      </c>
      <c r="B9" s="3">
        <v>2100</v>
      </c>
      <c r="D9" s="2" t="s">
        <v>53</v>
      </c>
      <c r="E9" s="3">
        <v>1600</v>
      </c>
      <c r="G9" s="2" t="s">
        <v>57</v>
      </c>
      <c r="H9" s="3">
        <v>300</v>
      </c>
      <c r="J9" s="2" t="s">
        <v>61</v>
      </c>
      <c r="K9" s="3">
        <v>6475</v>
      </c>
    </row>
    <row r="10" spans="1:13">
      <c r="A10" s="2" t="s">
        <v>110</v>
      </c>
      <c r="B10" s="3">
        <v>1855</v>
      </c>
      <c r="D10" s="2" t="s">
        <v>24</v>
      </c>
      <c r="E10" s="3">
        <v>500</v>
      </c>
      <c r="G10" s="2" t="s">
        <v>24</v>
      </c>
      <c r="H10" s="3">
        <v>100</v>
      </c>
      <c r="J10" s="2" t="s">
        <v>295</v>
      </c>
      <c r="K10" s="3">
        <v>58720</v>
      </c>
    </row>
    <row r="11" spans="1:13">
      <c r="A11" s="2" t="s">
        <v>295</v>
      </c>
      <c r="B11" s="3">
        <v>58720</v>
      </c>
      <c r="D11" s="2" t="s">
        <v>295</v>
      </c>
      <c r="E11" s="3">
        <v>58720</v>
      </c>
      <c r="G11" s="2" t="s">
        <v>295</v>
      </c>
      <c r="H11" s="3">
        <v>4060</v>
      </c>
    </row>
    <row r="12" spans="1:13" ht="10.5" customHeight="1"/>
  </sheetData>
  <mergeCells count="1">
    <mergeCell ref="B1:M1"/>
  </mergeCells>
  <pageMargins left="0.7" right="0.7" top="0.75" bottom="0.75" header="0.3" footer="0.3"/>
  <pageSetup orientation="portrait" r:id="rId5"/>
  <drawing r:id="rId6"/>
  <extLst>
    <ext xmlns:x14="http://schemas.microsoft.com/office/spreadsheetml/2009/9/main" uri="{A8765BA9-456A-4dab-B4F3-ACF838C121DE}">
      <x14:slicerList>
        <x14:slicer r:id="rId7"/>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Quantity Analysis Dashboard</vt:lpstr>
      <vt:lpstr>Sales Data</vt:lpstr>
      <vt:lpstr>Executive Summary Dashboard</vt:lpstr>
      <vt:lpstr>Sales Analysis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2026-05-29T16:31:14Z</dcterms:created>
  <dcterms:modified xsi:type="dcterms:W3CDTF">2026-06-22T09:40:44Z</dcterms:modified>
</cp:coreProperties>
</file>